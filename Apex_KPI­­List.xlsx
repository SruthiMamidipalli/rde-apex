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uthi.r.mamidipalli\Launchpad\RDE\Retail Case Study\"/>
    </mc:Choice>
  </mc:AlternateContent>
  <xr:revisionPtr revIDLastSave="0" documentId="8_{C2AFBBB4-FA5A-4F76-B9BC-DBF700A3E5F8}" xr6:coauthVersionLast="47" xr6:coauthVersionMax="47" xr10:uidLastSave="{00000000-0000-0000-0000-000000000000}"/>
  <bookViews>
    <workbookView xWindow="30" yWindow="30" windowWidth="28770" windowHeight="15450" tabRatio="500" firstSheet="4" activeTab="5" xr2:uid="{00000000-000D-0000-FFFF-FFFF00000000}"/>
  </bookViews>
  <sheets>
    <sheet name="Persona Map" sheetId="1" r:id="rId1"/>
    <sheet name="KPI Navigation Map" sheetId="2" r:id="rId2"/>
    <sheet name="Composite Score Model" sheetId="3" r:id="rId3"/>
    <sheet name="Legend &amp; Notes" sheetId="4" r:id="rId4"/>
    <sheet name="CRM Analyst" sheetId="5" r:id="rId5"/>
    <sheet name="DRI" sheetId="6" r:id="rId6"/>
    <sheet name="Marketing &amp; Loyalty Ops" sheetId="7" r:id="rId7"/>
    <sheet name="Finance &amp; Executive" sheetId="8" r:id="rId8"/>
    <sheet name="Admin &amp; Platform" sheetId="9" r:id="rId9"/>
  </sheets>
  <definedNames>
    <definedName name="_xlnm._FilterDatabase" localSheetId="8" hidden="1">'Admin &amp; Platform'!$A$4:$G$20</definedName>
    <definedName name="_xlnm._FilterDatabase" localSheetId="4" hidden="1">'CRM Analyst'!$A$4:$G$30</definedName>
    <definedName name="_xlnm._FilterDatabase" localSheetId="5" hidden="1">DRI!$A$4:$G$29</definedName>
    <definedName name="_xlnm._FilterDatabase" localSheetId="7" hidden="1">'Finance &amp; Executive'!$A$4:$G$25</definedName>
    <definedName name="_xlnm._FilterDatabase" localSheetId="1" hidden="1">'KPI Navigation Map'!$A$3:$K$53</definedName>
    <definedName name="_xlnm._FilterDatabase" localSheetId="6" hidden="1">'Marketing &amp; Loyalty Ops'!$A$4:$G$22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3" l="1"/>
</calcChain>
</file>

<file path=xl/sharedStrings.xml><?xml version="1.0" encoding="utf-8"?>
<sst xmlns="http://schemas.openxmlformats.org/spreadsheetml/2006/main" count="1466" uniqueCount="403">
  <si>
    <t>Apex Retail — Personas → Dashboards → KPIs</t>
  </si>
  <si>
    <t>Five personas drawn from the case study (slide 10: CRM analyst / loyalty ops run it, DRI approves, outputs role-tailored for CRM / loyalty / finance / exec). Each persona's own sheet lists its KPIs in full.</t>
  </si>
  <si>
    <t>Persona (Primary user)</t>
  </si>
  <si>
    <t>Role — what they do</t>
  </si>
  <si>
    <t>Dashboards they use</t>
  </si>
  <si>
    <t># KPIs</t>
  </si>
  <si>
    <t>CRM Analyst</t>
  </si>
  <si>
    <t>Works at-risk customers day to day: the queue, the customer story, the brief.</t>
  </si>
  <si>
    <t>Command Center · At-Risk Queue · Customer 360 · Retention Brief</t>
  </si>
  <si>
    <t>DRI (owner / approver)</t>
  </si>
  <si>
    <t>Owns the outcome. Approves high-value briefs and watches whether churn, redemption and revenue actually move.</t>
  </si>
  <si>
    <t>Command Center · Retention Brief · Impact &amp; ROI</t>
  </si>
  <si>
    <t>Marketing / Loyalty Ops</t>
  </si>
  <si>
    <t>Runs the offers and campaigns; makes sure outreach is relevant and lands.</t>
  </si>
  <si>
    <t>Command Center · Campaign &amp; Outreach · Retention Brief</t>
  </si>
  <si>
    <t>Finance / Executive</t>
  </si>
  <si>
    <t>Reads the business case: top-line outcomes and ROI on the $2.1M platform.</t>
  </si>
  <si>
    <t>Command Center · Impact &amp; ROI</t>
  </si>
  <si>
    <t>Admin / Platform</t>
  </si>
  <si>
    <t>Keeps the six integrations healthy and the scoring correct and auditable.</t>
  </si>
  <si>
    <t>Command Center · Admin &amp; Governance</t>
  </si>
  <si>
    <t>DASHBOARD → PERSONAS</t>
  </si>
  <si>
    <t>Dashboard (nav area)</t>
  </si>
  <si>
    <t>Personas who use it</t>
  </si>
  <si>
    <t>Command Center</t>
  </si>
  <si>
    <t>All personas</t>
  </si>
  <si>
    <t>At-Risk Queue</t>
  </si>
  <si>
    <t>Customer 360</t>
  </si>
  <si>
    <t>Retention Brief</t>
  </si>
  <si>
    <t>CRM Analyst, DRI (owner / approver), Marketing / Loyalty Ops</t>
  </si>
  <si>
    <t>Campaign &amp; Outreach</t>
  </si>
  <si>
    <t>Impact &amp; ROI</t>
  </si>
  <si>
    <t>DRI (owner / approver), Finance / Executive</t>
  </si>
  <si>
    <t>Admin &amp; Governance</t>
  </si>
  <si>
    <t>Note: Command Center is the shared landing screen for every persona. KPIs that live on more than one dashboard appear on each relevant persona's sheet.</t>
  </si>
  <si>
    <t>Apex Retail — Retention KPI Navigation Map</t>
  </si>
  <si>
    <t>KPIs by navigation area, with refresh cadence, type (B / LE / LA / G), plain detail, an explanation, why it matters to the business case, the deck's target where stated, and the formula.</t>
  </si>
  <si>
    <t>Navigation area</t>
  </si>
  <si>
    <t>Primary user</t>
  </si>
  <si>
    <t>KPI name</t>
  </si>
  <si>
    <t>Refresh cadence</t>
  </si>
  <si>
    <t>Type</t>
  </si>
  <si>
    <t>Detail (plain)</t>
  </si>
  <si>
    <t>What the KPI is (explanation)</t>
  </si>
  <si>
    <t>Why it matters (business case)</t>
  </si>
  <si>
    <t>Target (from deck)</t>
  </si>
  <si>
    <t>Formula</t>
  </si>
  <si>
    <t>Source system(s)</t>
  </si>
  <si>
    <t>All</t>
  </si>
  <si>
    <t>Churn rate vs target</t>
  </si>
  <si>
    <t>Daily</t>
  </si>
  <si>
    <t>B</t>
  </si>
  <si>
    <t>23.8% against the &lt;14% goal</t>
  </si>
  <si>
    <t>Share of customers who leave over a year, shown against the program goal.</t>
  </si>
  <si>
    <t>The headline problem — 28% is 3x the retail norm and the whole program exists to cut it.</t>
  </si>
  <si>
    <t>&lt; 14%</t>
  </si>
  <si>
    <t>(customers lost in period ÷ customers at period start) × 100</t>
  </si>
  <si>
    <t>Shopify + CRM</t>
  </si>
  <si>
    <t>Redemption rate vs target</t>
  </si>
  <si>
    <t>19% against the &gt;35% goal</t>
  </si>
  <si>
    <t>Share of enrolled loyalty members who actually redeem a reward, vs goal.</t>
  </si>
  <si>
    <t>The scorecard on the $2.1M platform — 0% redemption meant it changed no behaviour.</t>
  </si>
  <si>
    <t>&gt; 35%</t>
  </si>
  <si>
    <t>(members redeeming ≥1 reward in 90 days ÷ enrolled members) × 100</t>
  </si>
  <si>
    <t>Yotpo</t>
  </si>
  <si>
    <t>Revenue-at-risk ticker</t>
  </si>
  <si>
    <t>Real-time</t>
  </si>
  <si>
    <t>Live $ vs the $14.2M reference</t>
  </si>
  <si>
    <t>Live dollar estimate of annual revenue tied to customers currently at high risk.</t>
  </si>
  <si>
    <t>Turns risk into money leadership feels; anchors urgency against the $14.2M lost.</t>
  </si>
  <si>
    <t>—</t>
  </si>
  <si>
    <t>Σ (annual value of each customer currently scored High-risk)</t>
  </si>
  <si>
    <t>Avg campaign launch time</t>
  </si>
  <si>
    <t>Near-real-time</t>
  </si>
  <si>
    <t>LE</t>
  </si>
  <si>
    <t>Signal → live, target &lt;2 min</t>
  </si>
  <si>
    <t>Average time from a churn signal firing to a retention campaign going live.</t>
  </si>
  <si>
    <t>The timing fix — the old 4–7 day lag meant the window shut before anyone acted.</t>
  </si>
  <si>
    <t>&lt; 2 min</t>
  </si>
  <si>
    <t>mean( timestamp(campaign live) − timestamp(signal detected) )</t>
  </si>
  <si>
    <t>GA + Klaviyo</t>
  </si>
  <si>
    <t>Offer personalisation rate</t>
  </si>
  <si>
    <t>71%, toward &gt;85%</t>
  </si>
  <si>
    <t>Share of offers matched to a customer's actual signals rather than a blanket coupon.</t>
  </si>
  <si>
    <t>The generic 10% voucher is why offers were ignored; relevance is what makes people stay.</t>
  </si>
  <si>
    <t>&gt; 85%</t>
  </si>
  <si>
    <t>(offers matched to customer's signal profile ÷ total offers sent) × 100</t>
  </si>
  <si>
    <t>Scoring engine + Klaviyo</t>
  </si>
  <si>
    <t>Live risk-band counts + trend</t>
  </si>
  <si>
    <t>High / Med / Low vs prior period</t>
  </si>
  <si>
    <t>Count of customers in High / Medium / Low risk bands, vs the prior period.</t>
  </si>
  <si>
    <t>The at-a-glance pulse — tells the team where the book is heading right now.</t>
  </si>
  <si>
    <t>count(customers) grouped by band (High 71–100, Med 41–70, Low 0–40); trend = this period − prior</t>
  </si>
  <si>
    <t>Scoring engine</t>
  </si>
  <si>
    <t>'Signals firing now' feed</t>
  </si>
  <si>
    <t>Newly triggered threshold crossings</t>
  </si>
  <si>
    <t>Real-time stream of customers newly crossing the composite-score threshold.</t>
  </si>
  <si>
    <t>Makes detection visible and immediate — the opposite of finding out days later.</t>
  </si>
  <si>
    <t>count(customers whose composite score crossed threshold in last 24h), streamed as events</t>
  </si>
  <si>
    <t>Scoring engine / GA</t>
  </si>
  <si>
    <t>Pending approvals + SLA timer</t>
  </si>
  <si>
    <t>G</t>
  </si>
  <si>
    <t># awaiting sign-off, oldest wait</t>
  </si>
  <si>
    <t>Number of briefs awaiting human sign-off and the oldest wait time.</t>
  </si>
  <si>
    <t>Guards the human-in-the-loop gate from becoming the new bottleneck.</t>
  </si>
  <si>
    <t>count(briefs where status = pending); oldest wait = max(now − brief created time)</t>
  </si>
  <si>
    <t>Audit log</t>
  </si>
  <si>
    <t>System-health strip</t>
  </si>
  <si>
    <t>6 connectors green / amber / red</t>
  </si>
  <si>
    <t>Live status of all six source connectors (green / amber / red).</t>
  </si>
  <si>
    <t>If a source silently drops, the score is computed on partial data and quietly misleads.</t>
  </si>
  <si>
    <t>per connector: green if last-sync &lt; 15 min, amber &lt; 60 min, red ≥ 60 min or error</t>
  </si>
  <si>
    <t>All 6 connectors</t>
  </si>
  <si>
    <t>Analyst / Ops</t>
  </si>
  <si>
    <t>Composite churn score</t>
  </si>
  <si>
    <t>0–100 per customer, drives rank</t>
  </si>
  <si>
    <t>A single 0–100 risk score built from all six systems' signals.</t>
  </si>
  <si>
    <t>The core invention — one number no single system could produce; it drives the ranking.</t>
  </si>
  <si>
    <t>Σ (signal weight × normalised signal value 0–1) × 100  — see 'Composite Score Model'</t>
  </si>
  <si>
    <t>All 6 (scoring engine)</t>
  </si>
  <si>
    <t>Total at-risk LTV</t>
  </si>
  <si>
    <t>Per-customer event</t>
  </si>
  <si>
    <t>The '× value' in the ranking</t>
  </si>
  <si>
    <t>Combined lifetime value of every customer currently in the queue.</t>
  </si>
  <si>
    <t>The 'value' half of risk x value — focuses effort on customers worth saving.</t>
  </si>
  <si>
    <t>Σ (lifetime value of each customer in the queue)</t>
  </si>
  <si>
    <t>Predicted at-risk inflow (30d)</t>
  </si>
  <si>
    <t>517, +6% — staffing signal</t>
  </si>
  <si>
    <t>Forecast of how many customers will become high-risk in the next 30 days.</t>
  </si>
  <si>
    <t>Lets the team staff for what's coming, not just work the current backlog.</t>
  </si>
  <si>
    <t>model forecast of count(customers expected to cross High threshold in next 30 days)</t>
  </si>
  <si>
    <t>Model</t>
  </si>
  <si>
    <t>Risk-band distribution</t>
  </si>
  <si>
    <t>High / Med / Low split</t>
  </si>
  <si>
    <t>Split of the queue across High / Medium / Low score bands.</t>
  </si>
  <si>
    <t>Shows the shape of demand so triage and offers can be prioritised.</t>
  </si>
  <si>
    <t>count(queue customers) grouped by score band</t>
  </si>
  <si>
    <t>Retention save rate</t>
  </si>
  <si>
    <t>Quarterly (90-day)</t>
  </si>
  <si>
    <t>43% of contacted</t>
  </si>
  <si>
    <t>Share of contacted at-risk customers still retained 90 days later.</t>
  </si>
  <si>
    <t>The bottom-line proof the intervention actually works, not just fires fast.</t>
  </si>
  <si>
    <t>(at-risk customers retained 90 days after contact ÷ at-risk customers contacted) × 100</t>
  </si>
  <si>
    <t>Klaviyo + Shopify</t>
  </si>
  <si>
    <t>Queue throughput (cleared today)</t>
  </si>
  <si>
    <t>Keeps the queue from backing up</t>
  </si>
  <si>
    <t>Customers actioned today vs customers added to the queue today.</t>
  </si>
  <si>
    <t>Early warning that the queue is silently growing faster than it's worked.</t>
  </si>
  <si>
    <t>count(customers actioned today) ÷ count(added to queue today)</t>
  </si>
  <si>
    <t>Analyst / DRI</t>
  </si>
  <si>
    <t>Composite score + band</t>
  </si>
  <si>
    <t>91/100 HIGH</t>
  </si>
  <si>
    <t>This customer's 0–100 score and its risk band.</t>
  </si>
  <si>
    <t>Anchors the single-customer story in one comparable, cited number.</t>
  </si>
  <si>
    <t>the weighted composite formula, computed for this customer</t>
  </si>
  <si>
    <t>Session-drop %</t>
  </si>
  <si>
    <t>−60% in 30 days</t>
  </si>
  <si>
    <t>Change in this customer's web sessions vs the prior period.</t>
  </si>
  <si>
    <t>The earliest signal — browsing collapse precedes churn by 2–3 weeks.</t>
  </si>
  <si>
    <t>(sessions last 30d − sessions prior 30d) ÷ sessions prior 30d × 100</t>
  </si>
  <si>
    <t>Google Analytics</t>
  </si>
  <si>
    <t>Redemption gap</t>
  </si>
  <si>
    <t>0 in 8 weeks</t>
  </si>
  <si>
    <t>How long since this customer last redeemed a loyalty reward.</t>
  </si>
  <si>
    <t>Zero redemption was the single strongest churn signal in the source data.</t>
  </si>
  <si>
    <t>days since last redemption, or count(redemptions in window)</t>
  </si>
  <si>
    <t>AOV change</t>
  </si>
  <si>
    <t>LA</t>
  </si>
  <si>
    <t>−34%</t>
  </si>
  <si>
    <t>Change in this customer's average order value vs their baseline.</t>
  </si>
  <si>
    <t>Falling spend and discount dependency signal margin erosion before churn.</t>
  </si>
  <si>
    <t>(recent avg order value − baseline AOV) ÷ baseline AOV × 100</t>
  </si>
  <si>
    <t>Shopify</t>
  </si>
  <si>
    <t>Email open rate</t>
  </si>
  <si>
    <t>8.2%</t>
  </si>
  <si>
    <t>Share of emails this customer opens.</t>
  </si>
  <si>
    <t>Engagement collapse shows here first — a mentally-churned customer stops opening.</t>
  </si>
  <si>
    <t>(emails opened ÷ emails delivered) × 100</t>
  </si>
  <si>
    <t>Klaviyo</t>
  </si>
  <si>
    <t>Open-ticket age</t>
  </si>
  <si>
    <t>6 days</t>
  </si>
  <si>
    <t>Days this customer's oldest unresolved support ticket has been open.</t>
  </si>
  <si>
    <t>An unresolved ticket before churn is a proven precursor invisible to the CRM.</t>
  </si>
  <si>
    <t>now − oldest unresolved ticket created date</t>
  </si>
  <si>
    <t>Zendesk</t>
  </si>
  <si>
    <t>CRM-vs-composite divergence</t>
  </si>
  <si>
    <t>CRM 72 'healthy' vs composite 91 HIGH</t>
  </si>
  <si>
    <t>Flag when the CRM rates a customer healthy but the composite says high-risk.</t>
  </si>
  <si>
    <t>This is the whole thesis — the CRM scored a churner 72/100 'healthy'.</t>
  </si>
  <si>
    <t>flag when CRM health score ≥ 70 AND composite score ≥ 71</t>
  </si>
  <si>
    <t>CRM + scoring engine</t>
  </si>
  <si>
    <t>Recommended offer + confidence</t>
  </si>
  <si>
    <t>Offer matched to signal + tier</t>
  </si>
  <si>
    <t>The offer the agent recommends for this customer, with a confidence level.</t>
  </si>
  <si>
    <t>Turns the score into an action a human can approve in one click.</t>
  </si>
  <si>
    <t>rule/model: score band × dominant signal × customer tier → offer; confidence = model probability</t>
  </si>
  <si>
    <t>Composite score breakdown</t>
  </si>
  <si>
    <t>Each signal's contribution</t>
  </si>
  <si>
    <t>Each signal's contribution to this customer's total score.</t>
  </si>
  <si>
    <t>Makes the score explainable, so the human trusts and can challenge it.</t>
  </si>
  <si>
    <t>per signal: (weight × normalised value), shown as its share of the total score</t>
  </si>
  <si>
    <t>Every signal source-cited</t>
  </si>
  <si>
    <t>'[GA]', '[Yotpo]' traceability</t>
  </si>
  <si>
    <t>Whether every signal in the brief names the system it came from.</t>
  </si>
  <si>
    <t>Traceability is what makes the brief defensible and auditable.</t>
  </si>
  <si>
    <t>100%</t>
  </si>
  <si>
    <t>citation coverage = (signals with a named source ÷ signals used) × 100  — target 100%</t>
  </si>
  <si>
    <t>Projected save probability / EV</t>
  </si>
  <si>
    <t>Why this offer, this customer</t>
  </si>
  <si>
    <t>Expected value of the offer: save probability x LTV minus offer cost.</t>
  </si>
  <si>
    <t>Ensures the recommended action is worth more than it costs.</t>
  </si>
  <si>
    <t>$180–$420</t>
  </si>
  <si>
    <t>expected value = P(save | offer) × customer LTV − offer cost</t>
  </si>
  <si>
    <t>Model + Shopify</t>
  </si>
  <si>
    <t>Analyst / Marketing</t>
  </si>
  <si>
    <t>Time to intervention</t>
  </si>
  <si>
    <t>Signal → live, &lt;2 min</t>
  </si>
  <si>
    <t>Time from signal detected to campaign live.</t>
  </si>
  <si>
    <t>Acting within the window is what converts early warning into a save.</t>
  </si>
  <si>
    <t>timestamp(campaign live) − timestamp(signal detected)</t>
  </si>
  <si>
    <t>Offer personalisation / relevance</t>
  </si>
  <si>
    <t>71% → &gt;85%</t>
  </si>
  <si>
    <t>Share of sent offers matched to the customer's signal profile.</t>
  </si>
  <si>
    <t>Relevant offers get opened and used; generic ones get ignored.</t>
  </si>
  <si>
    <t>(offers matched to signal profile ÷ total offers sent) × 100</t>
  </si>
  <si>
    <t>Campaign performance</t>
  </si>
  <si>
    <t>Weekly</t>
  </si>
  <si>
    <t>Did it land</t>
  </si>
  <si>
    <t>Open, click and redeem rates for retention campaigns.</t>
  </si>
  <si>
    <t>Confirms the outreach actually landed, not just that it was sent.</t>
  </si>
  <si>
    <t>open / click / redeem rate — each (action count ÷ delivered) × 100</t>
  </si>
  <si>
    <t>Klaviyo + Yotpo</t>
  </si>
  <si>
    <t>Did they stay</t>
  </si>
  <si>
    <t>(contacted at-risk retained 90d ÷ contacted at-risk) × 100</t>
  </si>
  <si>
    <t>Offer fatigue / unsubscribe rate</t>
  </si>
  <si>
    <t>Over-contact backfire</t>
  </si>
  <si>
    <t>Unsubscribes and opt-outs following retention contact.</t>
  </si>
  <si>
    <t>Over-contacting at-risk customers can cause the very churn you're preventing.</t>
  </si>
  <si>
    <t>(unsubscribes + opt-outs after retention contact ÷ retention contacts) × 100</t>
  </si>
  <si>
    <t>Finance / Exec / DRI</t>
  </si>
  <si>
    <t>Annual churn rate</t>
  </si>
  <si>
    <t>Monthly</t>
  </si>
  <si>
    <t>28% → &lt;14%</t>
  </si>
  <si>
    <t>Share of customers lost over a year.</t>
  </si>
  <si>
    <t>The core outcome the business case is judged on.</t>
  </si>
  <si>
    <t>(customers lost in year ÷ customers at year start) × 100</t>
  </si>
  <si>
    <t>Revenue protected / year</t>
  </si>
  <si>
    <t>→ $7M+</t>
  </si>
  <si>
    <t>Annual revenue kept by reducing churn.</t>
  </si>
  <si>
    <t>Translates the churn win into the dollars that justify the $2.1M spend.</t>
  </si>
  <si>
    <t>&gt; $7M</t>
  </si>
  <si>
    <t>(baseline churn % − current churn %) × avg annual revenue per customer × customer base</t>
  </si>
  <si>
    <t>Shopify + CRM (finance input)</t>
  </si>
  <si>
    <t>Loyalty redemption rate</t>
  </si>
  <si>
    <t>0% → &gt;35%</t>
  </si>
  <si>
    <t>Share of members redeeming a reward within 90 days.</t>
  </si>
  <si>
    <t>Proof the loyalty platform is finally changing behaviour.</t>
  </si>
  <si>
    <t>&gt; 40%</t>
  </si>
  <si>
    <t>Customer CSAT (loyalty)</t>
  </si>
  <si>
    <t>54 → 80+</t>
  </si>
  <si>
    <t>Average post-interaction satisfaction score for loyalty.</t>
  </si>
  <si>
    <t>A softer outcome that shows retention isn't bought at the cost of experience.</t>
  </si>
  <si>
    <t>80+ / 100</t>
  </si>
  <si>
    <t>mean(post-interaction survey scores)</t>
  </si>
  <si>
    <t>Survey</t>
  </si>
  <si>
    <t>Early-warning lead time</t>
  </si>
  <si>
    <t>→ 14 days</t>
  </si>
  <si>
    <t>Days of warning between first signal and confirmed churn.</t>
  </si>
  <si>
    <t>The differentiator — 14 days of runway is what makes cross-system worth it.</t>
  </si>
  <si>
    <t>14 days</t>
  </si>
  <si>
    <t>date(churn confirmed) − date(first signal crossed threshold)</t>
  </si>
  <si>
    <t>GA + Yotpo + Zendesk</t>
  </si>
  <si>
    <t>Forecast churn (Q-end)</t>
  </si>
  <si>
    <t>20.3%, on track</t>
  </si>
  <si>
    <t>Model projection of churn rate at quarter end.</t>
  </si>
  <si>
    <t>Tells leadership whether the program is on track before the quarter closes.</t>
  </si>
  <si>
    <t>model projection of churn rate at period end</t>
  </si>
  <si>
    <t>Customers lost (90d)</t>
  </si>
  <si>
    <t>Trend</t>
  </si>
  <si>
    <t>Count of customers churned over the last 90 days.</t>
  </si>
  <si>
    <t>The lagging count that confirms the rate is genuinely improving.</t>
  </si>
  <si>
    <t>count(customers with no purchase in 180 days) over the last 90-day window</t>
  </si>
  <si>
    <t>AOV decline (at-risk)</t>
  </si>
  <si>
    <t>−34% → recover</t>
  </si>
  <si>
    <t>Average order-value decline across at-risk customers.</t>
  </si>
  <si>
    <t>Confirms whether spend erosion (a churn precursor) is reversing.</t>
  </si>
  <si>
    <t>(current avg order value − baseline AOV) ÷ baseline AOV × 100</t>
  </si>
  <si>
    <t>Analyst hrs / segment</t>
  </si>
  <si>
    <t>4–8 hrs → &lt;5 min</t>
  </si>
  <si>
    <t>Human hours to produce a retention brief per segment.</t>
  </si>
  <si>
    <t>The efficiency lever — 4–8 hrs to under 5 min frees the team to act.</t>
  </si>
  <si>
    <t>&lt; 5 min</t>
  </si>
  <si>
    <t>total analyst hours ÷ segment runs</t>
  </si>
  <si>
    <t>Process audit</t>
  </si>
  <si>
    <t>Incrementality vs holdout</t>
  </si>
  <si>
    <t>Proven, not assumed</t>
  </si>
  <si>
    <t>Retention lift of a helped group vs an untreated control group.</t>
  </si>
  <si>
    <t>The honest proof that offers caused the saves, not luck — makes '$7M' real.</t>
  </si>
  <si>
    <t>retention rate(treated group) − retention rate(control holdout)</t>
  </si>
  <si>
    <t>Shopify + audit</t>
  </si>
  <si>
    <t>Margin cost per save</t>
  </si>
  <si>
    <t>Not buying loyalty unaffordably</t>
  </si>
  <si>
    <t>Discount and reward cost divided by customers saved.</t>
  </si>
  <si>
    <t>Stops the team 'winning' churn with discounts that cost more than they save.</t>
  </si>
  <si>
    <t>(Σ discount + reward cost of retention offers) ÷ customers saved</t>
  </si>
  <si>
    <t>Yotpo + Shopify (margin input)</t>
  </si>
  <si>
    <t>Admin</t>
  </si>
  <si>
    <t>Connector / system health</t>
  </si>
  <si>
    <t>Uptime, last-sync, staleness</t>
  </si>
  <si>
    <t>Uptime, last-sync and staleness for each of the six connectors.</t>
  </si>
  <si>
    <t>Integration health is the foundation — bad data silently corrupts every score.</t>
  </si>
  <si>
    <t>uptime % = (successful syncs ÷ attempted syncs) × 100; staleness = now − last successful sync</t>
  </si>
  <si>
    <t>Scoring precision</t>
  </si>
  <si>
    <t>Of those flagged High, how many churned</t>
  </si>
  <si>
    <t>Of customers flagged high-risk, the share that actually churned.</t>
  </si>
  <si>
    <t>Answers 'does the score work?' — precision stops false alarms.</t>
  </si>
  <si>
    <t>true positives ÷ (true positives + false positives)</t>
  </si>
  <si>
    <t>Scoring engine + Shopify</t>
  </si>
  <si>
    <t>Scoring recall</t>
  </si>
  <si>
    <t>Of churners, how many were flagged</t>
  </si>
  <si>
    <t>Of customers who churned, the share the model flagged.</t>
  </si>
  <si>
    <t>The other half of accuracy — recall stops missed churners.</t>
  </si>
  <si>
    <t>true positives ÷ (true positives + false negatives)</t>
  </si>
  <si>
    <t>False-alarm rate</t>
  </si>
  <si>
    <t>Healthy customers wrongly flagged, &lt;15%</t>
  </si>
  <si>
    <t>Share of high-risk flags that did not churn.</t>
  </si>
  <si>
    <t>Too many false alarms train the whole base to expect discounts.</t>
  </si>
  <si>
    <t>(flagged High who did NOT churn ÷ total flagged High) × 100</t>
  </si>
  <si>
    <t>Override rate + reasons</t>
  </si>
  <si>
    <t>How often humans disagree</t>
  </si>
  <si>
    <t>How often humans override the agent, with logged reasons.</t>
  </si>
  <si>
    <t>A trust signal and a free feedback loop for improving the model.</t>
  </si>
  <si>
    <t>(briefs overridden ÷ briefs reviewed) × 100</t>
  </si>
  <si>
    <t>Audit-trail completeness</t>
  </si>
  <si>
    <t>100% of actions cited</t>
  </si>
  <si>
    <t>Share of actions logged with full source citations.</t>
  </si>
  <si>
    <t>Compliance and defensibility — the old process had no audit trail at all.</t>
  </si>
  <si>
    <t>(actions with full source citation ÷ total actions) × 100</t>
  </si>
  <si>
    <t>Model / weight version + drift</t>
  </si>
  <si>
    <t>What's scoring, has it moved</t>
  </si>
  <si>
    <t>Which scoring version is live and whether its output has drifted.</t>
  </si>
  <si>
    <t>Governance — ensures the score stays valid as customer behaviour shifts.</t>
  </si>
  <si>
    <t>current score distribution vs baseline (e.g. population stability index)</t>
  </si>
  <si>
    <t>Composite Churn Score — weight model</t>
  </si>
  <si>
    <t>The 0–100 risk score that drives the At-Risk Queue ranking and offer selection. Weights are editable and re-normalise if a signal is missing.</t>
  </si>
  <si>
    <t>Signal</t>
  </si>
  <si>
    <t>Source</t>
  </si>
  <si>
    <t>Weight</t>
  </si>
  <si>
    <t>Transaction recency</t>
  </si>
  <si>
    <t>Shopify / CRM</t>
  </si>
  <si>
    <t>Engagement drop</t>
  </si>
  <si>
    <t>Support sentiment</t>
  </si>
  <si>
    <t>Session decline</t>
  </si>
  <si>
    <t>Loyalty inactivity</t>
  </si>
  <si>
    <t>Email disengagement</t>
  </si>
  <si>
    <t>TOTAL</t>
  </si>
  <si>
    <t>all signals tripped</t>
  </si>
  <si>
    <t>Score formula</t>
  </si>
  <si>
    <t>Composite score = ( Σ weightᵢ × normalised signalᵢ ) × 100,  each signal scaled to 0–1.</t>
  </si>
  <si>
    <t>Re-normalisation</t>
  </si>
  <si>
    <t>If a signal is unavailable, its weight is redistributed proportionally across the remaining signals so weights still sum to 1.00.</t>
  </si>
  <si>
    <t>Risk bands</t>
  </si>
  <si>
    <t>0–40 = Low   ·   41–70 = Medium   ·   71–100 = High.</t>
  </si>
  <si>
    <t>Worked example</t>
  </si>
  <si>
    <t>All six signals tripped for one customer → score 100. Case-study customer (Mia Mitchell) = 91/100 HIGH.</t>
  </si>
  <si>
    <t>Legend &amp; measurement notes</t>
  </si>
  <si>
    <t>KPI TYPES</t>
  </si>
  <si>
    <t>Code</t>
  </si>
  <si>
    <t>What it means</t>
  </si>
  <si>
    <t>Business</t>
  </si>
  <si>
    <t>Top-line outcome the program is judged on. What leadership tracks.</t>
  </si>
  <si>
    <t>Leading indicator</t>
  </si>
  <si>
    <t>Predicts what's coming — including forecasts. Acts before churn is confirmed.</t>
  </si>
  <si>
    <t>Lagging indicator</t>
  </si>
  <si>
    <t>Confirms what already happened. Verifies the result rather than predicting it.</t>
  </si>
  <si>
    <t>Guardrail</t>
  </si>
  <si>
    <t>Keeps a churn win from becoming a hidden loss (margin, false alarms, trust, health).</t>
  </si>
  <si>
    <t>MEASUREMENT NOTES</t>
  </si>
  <si>
    <t>•</t>
  </si>
  <si>
    <t>Churn 'lost' definition: a customer is counted churned after no purchase in 180 days. This window is a business choice (30 / 90 / 180 days changes the number) — fix it once and use it everywhere churn appears.</t>
  </si>
  <si>
    <t>Save rate and incrementality use a 90-day observation window, so they lag by a quarter — they confirm rather than predict, which is why they sit in Business / Guardrail, not Leading.</t>
  </si>
  <si>
    <t>Incrementality vs holdout is the honest version of 'revenue protected': subtracting a control group that gets no intervention proves the offer caused the save, not luck.</t>
  </si>
  <si>
    <t>Finance inputs (not live system data): 'avg annual revenue per customer' (revenue protected) and 'gross margin % / offer cost' (margin cost per save). Flag these so they aren't mistaken for live metrics.</t>
  </si>
  <si>
    <t>Churn target is &lt; 14% everywhere (a source deck shows '&gt;14%' on two slides — that is a typo; the roadmap's own success criteria say below 14%).</t>
  </si>
  <si>
    <t>Formulas in this workbook are documentation of how each KPI is calculated — they are written as plain text, not live Excel formulas.</t>
  </si>
  <si>
    <t>Source systems: Salesforce CRM · Shopify · Yotpo (loyalty) · Klaviyo · Zendesk · Google Analytics. 'Scoring engine' and 'audit log' are derived layers built on those six.</t>
  </si>
  <si>
    <t>REFRESH CADENCE</t>
  </si>
  <si>
    <t>Cadence</t>
  </si>
  <si>
    <t>Updates the instant an event happens (seconds). A stale value would be useless or dangerous.</t>
  </si>
  <si>
    <t>Refreshes on a short poll (every few minutes). Feels live without per-second precision.</t>
  </si>
  <si>
    <t>Recomputes when that one customer's data changes (new session, order, email, ticket).</t>
  </si>
  <si>
    <t>Recomputed once a day in an overnight batch. Aggregates that don't move within a day.</t>
  </si>
  <si>
    <t>Recomputed each week. Enough volume to be stable, still operationally useful.</t>
  </si>
  <si>
    <t>Recomputed monthly, usually on a rolling basis. Annual/margin metrics reported at a monthly rhythm.</t>
  </si>
  <si>
    <t>Valid only after a 90-day observation window — you must wait to see if the customer stayed. Faster refresh would be noise.</t>
  </si>
  <si>
    <t>CRM Analyst — KPI dashboard</t>
  </si>
  <si>
    <t>Dashboard</t>
  </si>
  <si>
    <t>What it is</t>
  </si>
  <si>
    <t>Why it matters</t>
  </si>
  <si>
    <t>DRI (owner / approver) — KPI dashboard</t>
  </si>
  <si>
    <t>Marketing / Loyalty Ops — KPI dashboard</t>
  </si>
  <si>
    <t>Finance / Executive — KPI dashboard</t>
  </si>
  <si>
    <t>Admin / Platform — KPI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</si>
</sst>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charset val="1"/>
    </font>
    <font>
      <b/>
      <sz val="15"/>
      <color rgb="FF1F2A37"/>
      <name val="Arial"/>
      <charset val="1"/>
    </font>
    <font>
      <i/>
      <sz val="9.5"/>
      <color rgb="FF5F5E5A"/>
      <name val="Arial"/>
      <charset val="1"/>
    </font>
    <font>
      <b/>
      <sz val="10"/>
      <color rgb="FFFFFFFF"/>
      <name val="Arial"/>
      <charset val="1"/>
    </font>
    <font>
      <b/>
      <sz val="10"/>
      <color rgb="FF1F2A37"/>
      <name val="Arial"/>
      <charset val="1"/>
    </font>
    <font>
      <sz val="9.5"/>
      <color rgb="FF2C2C2A"/>
      <name val="Arial"/>
      <charset val="1"/>
    </font>
    <font>
      <b/>
      <sz val="11"/>
      <color rgb="FF1F2A37"/>
      <name val="Arial"/>
      <charset val="1"/>
    </font>
    <font>
      <b/>
      <sz val="9.5"/>
      <color rgb="FF1F2A37"/>
      <name val="Arial"/>
      <charset val="1"/>
    </font>
    <font>
      <i/>
      <sz val="9"/>
      <color rgb="FF5F5E5A"/>
      <name val="Arial"/>
      <charset val="1"/>
    </font>
    <font>
      <b/>
      <sz val="9"/>
      <color rgb="FF1F2A37"/>
      <name val="Arial"/>
      <charset val="1"/>
    </font>
    <font>
      <sz val="9"/>
      <color rgb="FF2C2C2A"/>
      <name val="Arial"/>
      <charset val="1"/>
    </font>
    <font>
      <b/>
      <sz val="8.5"/>
      <color rgb="FF1F5C8F"/>
      <name val="Arial"/>
      <charset val="1"/>
    </font>
    <font>
      <b/>
      <sz val="9"/>
      <color rgb="FF106B4F"/>
      <name val="Arial"/>
      <charset val="1"/>
    </font>
    <font>
      <b/>
      <sz val="8.5"/>
      <color rgb="FFA3312B"/>
      <name val="Arial"/>
      <charset val="1"/>
    </font>
    <font>
      <sz val="9"/>
      <color rgb="FFB4B2A9"/>
      <name val="Arial"/>
      <charset val="1"/>
    </font>
    <font>
      <b/>
      <sz val="8.5"/>
      <color rgb="FF8A5B0C"/>
      <name val="Arial"/>
      <charset val="1"/>
    </font>
    <font>
      <b/>
      <sz val="9"/>
      <color rgb="FF4B3F9E"/>
      <name val="Arial"/>
      <charset val="1"/>
    </font>
    <font>
      <b/>
      <sz val="9"/>
      <color rgb="FF8A5B0C"/>
      <name val="Arial"/>
      <charset val="1"/>
    </font>
    <font>
      <b/>
      <sz val="8.5"/>
      <color rgb="FF3B6B4A"/>
      <name val="Arial"/>
      <charset val="1"/>
    </font>
    <font>
      <b/>
      <sz val="9"/>
      <color rgb="FF1F5C8F"/>
      <name val="Arial"/>
      <charset val="1"/>
    </font>
    <font>
      <b/>
      <sz val="8.5"/>
      <color rgb="FF4B3F9E"/>
      <name val="Arial"/>
      <charset val="1"/>
    </font>
    <font>
      <b/>
      <sz val="8.5"/>
      <color rgb="FF5F5E5A"/>
      <name val="Arial"/>
      <charset val="1"/>
    </font>
    <font>
      <b/>
      <sz val="14"/>
      <color rgb="FF1F2A37"/>
      <name val="Arial"/>
      <charset val="1"/>
    </font>
    <font>
      <sz val="10"/>
      <color rgb="FF2C2C2A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106B4F"/>
      <name val="Arial"/>
      <charset val="1"/>
    </font>
    <font>
      <b/>
      <sz val="10"/>
      <color rgb="FF2C2C2A"/>
      <name val="Arial"/>
      <charset val="1"/>
    </font>
    <font>
      <b/>
      <sz val="10"/>
      <color rgb="FF4B3F9E"/>
      <name val="Arial"/>
      <charset val="1"/>
    </font>
    <font>
      <b/>
      <sz val="10"/>
      <color rgb="FF1F5C8F"/>
      <name val="Arial"/>
      <charset val="1"/>
    </font>
    <font>
      <b/>
      <sz val="10"/>
      <color rgb="FF8A5B0C"/>
      <name val="Arial"/>
      <charset val="1"/>
    </font>
    <font>
      <sz val="9.5"/>
      <color rgb="FF1F2A37"/>
      <name val="Arial"/>
      <charset val="1"/>
    </font>
    <font>
      <b/>
      <sz val="9"/>
      <color rgb="FFA3312B"/>
      <name val="Arial"/>
      <charset val="1"/>
    </font>
    <font>
      <b/>
      <sz val="9"/>
      <color rgb="FF5F5E5A"/>
      <name val="Arial"/>
      <charset val="1"/>
    </font>
    <font>
      <b/>
      <sz val="9"/>
      <color rgb="FF3B6B4A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2A37"/>
        <bgColor rgb="FF2C2C2A"/>
      </patternFill>
    </fill>
    <fill>
      <patternFill patternType="solid">
        <fgColor rgb="FFE3EEF9"/>
        <bgColor rgb="FFDCEBF7"/>
      </patternFill>
    </fill>
    <fill>
      <patternFill patternType="solid">
        <fgColor rgb="FFD9F0E3"/>
        <bgColor rgb="FFE4EDE3"/>
      </patternFill>
    </fill>
    <fill>
      <patternFill patternType="solid">
        <fgColor rgb="FFFCE4E4"/>
        <bgColor rgb="FFFBEEDD"/>
      </patternFill>
    </fill>
    <fill>
      <patternFill patternType="solid">
        <fgColor rgb="FFFBEEDD"/>
        <bgColor rgb="FFFCEEDA"/>
      </patternFill>
    </fill>
    <fill>
      <patternFill patternType="solid">
        <fgColor rgb="FFE7E3FB"/>
        <bgColor rgb="FFDCEBF7"/>
      </patternFill>
    </fill>
    <fill>
      <patternFill patternType="solid">
        <fgColor rgb="FFFCEEDA"/>
        <bgColor rgb="FFFBEEDD"/>
      </patternFill>
    </fill>
    <fill>
      <patternFill patternType="solid">
        <fgColor rgb="FFFDF3E2"/>
        <bgColor rgb="FFFBEEDD"/>
      </patternFill>
    </fill>
    <fill>
      <patternFill patternType="solid">
        <fgColor rgb="FFE4EDE3"/>
        <bgColor rgb="FFEDE9E2"/>
      </patternFill>
    </fill>
    <fill>
      <patternFill patternType="solid">
        <fgColor rgb="FFDCEBF7"/>
        <bgColor rgb="FFE3EEF9"/>
      </patternFill>
    </fill>
    <fill>
      <patternFill patternType="solid">
        <fgColor rgb="FFEDE9E2"/>
        <bgColor rgb="FFE4EDE3"/>
      </patternFill>
    </fill>
  </fills>
  <borders count="3">
    <border>
      <left/>
      <right/>
      <top/>
      <bottom/>
      <diagonal/>
    </border>
    <border>
      <left style="thin">
        <color rgb="FFD9DBD5"/>
      </left>
      <right style="thin">
        <color rgb="FFD9DBD5"/>
      </right>
      <top style="thin">
        <color rgb="FFD9DBD5"/>
      </top>
      <bottom style="thin">
        <color rgb="FFD9DBD5"/>
      </bottom>
      <diagonal/>
    </border>
    <border>
      <left style="thin">
        <color rgb="FFD9DBD5"/>
      </left>
      <right style="thin">
        <color rgb="FFD9DBD5"/>
      </right>
      <top style="medium">
        <color rgb="FF9AA0A6"/>
      </top>
      <bottom style="thin">
        <color rgb="FFD9DBD5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0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/>
    </xf>
    <xf numFmtId="0" fontId="15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5" fillId="6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top" wrapText="1"/>
    </xf>
    <xf numFmtId="0" fontId="15" fillId="9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top"/>
    </xf>
    <xf numFmtId="0" fontId="20" fillId="7" borderId="1" xfId="0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/>
    </xf>
    <xf numFmtId="0" fontId="23" fillId="0" borderId="1" xfId="0" applyFont="1" applyBorder="1"/>
    <xf numFmtId="2" fontId="24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2" fillId="0" borderId="2" xfId="0" applyFont="1" applyBorder="1"/>
    <xf numFmtId="2" fontId="25" fillId="0" borderId="2" xfId="0" applyNumberFormat="1" applyFont="1" applyBorder="1" applyAlignment="1">
      <alignment horizontal="center"/>
    </xf>
    <xf numFmtId="0" fontId="7" fillId="0" borderId="0" xfId="0" applyFont="1"/>
    <xf numFmtId="0" fontId="26" fillId="4" borderId="1" xfId="0" applyFont="1" applyFill="1" applyBorder="1" applyAlignment="1">
      <alignment horizontal="center"/>
    </xf>
    <xf numFmtId="0" fontId="27" fillId="0" borderId="1" xfId="0" applyFont="1" applyBorder="1"/>
    <xf numFmtId="0" fontId="28" fillId="7" borderId="1" xfId="0" applyFont="1" applyFill="1" applyBorder="1" applyAlignment="1">
      <alignment horizontal="center"/>
    </xf>
    <xf numFmtId="0" fontId="29" fillId="11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vertical="center" wrapText="1"/>
    </xf>
    <xf numFmtId="0" fontId="17" fillId="9" borderId="1" xfId="0" applyFont="1" applyFill="1" applyBorder="1" applyAlignment="1">
      <alignment vertical="center" wrapText="1"/>
    </xf>
    <xf numFmtId="0" fontId="19" fillId="3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33" fillId="12" borderId="1" xfId="0" applyFont="1" applyFill="1" applyBorder="1" applyAlignment="1">
      <alignment vertical="center" wrapText="1"/>
    </xf>
    <xf numFmtId="0" fontId="34" fillId="1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22" fillId="0" borderId="0" xfId="0" applyFont="1"/>
    <xf numFmtId="0" fontId="2" fillId="0" borderId="0" xfId="0" applyFont="1"/>
    <xf numFmtId="0" fontId="8" fillId="0" borderId="0" xfId="0" applyFont="1"/>
    <xf numFmtId="0" fontId="5" fillId="0" borderId="1" xfId="0" applyFont="1" applyBorder="1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EDD"/>
      <rgbColor rgb="FFFF00FF"/>
      <rgbColor rgb="FF00FFFF"/>
      <rgbColor rgb="FF800000"/>
      <rgbColor rgb="FF008000"/>
      <rgbColor rgb="FF000080"/>
      <rgbColor rgb="FF8A5B0C"/>
      <rgbColor rgb="FF800080"/>
      <rgbColor rgb="FF106B4F"/>
      <rgbColor rgb="FFB4B2A9"/>
      <rgbColor rgb="FF808080"/>
      <rgbColor rgb="FF9999FF"/>
      <rgbColor rgb="FF993366"/>
      <rgbColor rgb="FFFDF3E2"/>
      <rgbColor rgb="FFDCEBF7"/>
      <rgbColor rgb="FF660066"/>
      <rgbColor rgb="FFFF8080"/>
      <rgbColor rgb="FF1F5C8F"/>
      <rgbColor rgb="FFD9DB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9"/>
      <rgbColor rgb="FFD9F0E3"/>
      <rgbColor rgb="FFFCEEDA"/>
      <rgbColor rgb="FFE7E3FB"/>
      <rgbColor rgb="FFEDE9E2"/>
      <rgbColor rgb="FFE4EDE3"/>
      <rgbColor rgb="FFFCE4E4"/>
      <rgbColor rgb="FF3366FF"/>
      <rgbColor rgb="FF33CCCC"/>
      <rgbColor rgb="FF99CC00"/>
      <rgbColor rgb="FFFFCC00"/>
      <rgbColor rgb="FFFF9900"/>
      <rgbColor rgb="FFFF6600"/>
      <rgbColor rgb="FF5F5E5A"/>
      <rgbColor rgb="FF9AA0A6"/>
      <rgbColor rgb="FF003366"/>
      <rgbColor rgb="FF3B6B4A"/>
      <rgbColor rgb="FF003300"/>
      <rgbColor rgb="FF1F2A37"/>
      <rgbColor rgb="FFA3312B"/>
      <rgbColor rgb="FF993366"/>
      <rgbColor rgb="FF4B3F9E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zoomScaleNormal="100" workbookViewId="0">
      <selection sqref="A1:D1"/>
    </sheetView>
  </sheetViews>
  <sheetFormatPr defaultColWidth="8.5703125" defaultRowHeight="15" x14ac:dyDescent="0.25"/>
  <cols>
    <col min="1" max="1" width="22" customWidth="1"/>
    <col min="2" max="3" width="40" customWidth="1"/>
    <col min="4" max="4" width="10" customWidth="1"/>
  </cols>
  <sheetData>
    <row r="1" spans="1:4" ht="19.5" x14ac:dyDescent="0.3">
      <c r="A1" s="62" t="s">
        <v>0</v>
      </c>
      <c r="B1" s="62"/>
      <c r="C1" s="62"/>
      <c r="D1" s="62"/>
    </row>
    <row r="2" spans="1:4" ht="27.75" customHeight="1" x14ac:dyDescent="0.25">
      <c r="A2" s="59" t="s">
        <v>1</v>
      </c>
      <c r="B2" s="59"/>
      <c r="C2" s="59"/>
      <c r="D2" s="59"/>
    </row>
    <row r="4" spans="1:4" ht="19.5" customHeigh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ht="42" customHeight="1" x14ac:dyDescent="0.25">
      <c r="A5" s="5" t="s">
        <v>6</v>
      </c>
      <c r="B5" s="2" t="s">
        <v>7</v>
      </c>
      <c r="C5" s="2" t="s">
        <v>8</v>
      </c>
      <c r="D5" s="6">
        <v>26</v>
      </c>
    </row>
    <row r="6" spans="1:4" ht="42" customHeight="1" x14ac:dyDescent="0.25">
      <c r="A6" s="5" t="s">
        <v>9</v>
      </c>
      <c r="B6" s="2" t="s">
        <v>10</v>
      </c>
      <c r="C6" s="2" t="s">
        <v>11</v>
      </c>
      <c r="D6" s="6">
        <v>25</v>
      </c>
    </row>
    <row r="7" spans="1:4" ht="42" customHeight="1" x14ac:dyDescent="0.25">
      <c r="A7" s="5" t="s">
        <v>12</v>
      </c>
      <c r="B7" s="2" t="s">
        <v>13</v>
      </c>
      <c r="C7" s="2" t="s">
        <v>14</v>
      </c>
      <c r="D7" s="6">
        <v>18</v>
      </c>
    </row>
    <row r="8" spans="1:4" ht="42" customHeight="1" x14ac:dyDescent="0.25">
      <c r="A8" s="5" t="s">
        <v>15</v>
      </c>
      <c r="B8" s="2" t="s">
        <v>16</v>
      </c>
      <c r="C8" s="2" t="s">
        <v>17</v>
      </c>
      <c r="D8" s="6">
        <v>21</v>
      </c>
    </row>
    <row r="9" spans="1:4" ht="42" customHeight="1" x14ac:dyDescent="0.25">
      <c r="A9" s="5" t="s">
        <v>18</v>
      </c>
      <c r="B9" s="2" t="s">
        <v>19</v>
      </c>
      <c r="C9" s="2" t="s">
        <v>20</v>
      </c>
      <c r="D9" s="6">
        <v>16</v>
      </c>
    </row>
    <row r="11" spans="1:4" x14ac:dyDescent="0.25">
      <c r="A11" s="7" t="s">
        <v>21</v>
      </c>
    </row>
    <row r="12" spans="1:4" ht="15" customHeight="1" x14ac:dyDescent="0.25">
      <c r="A12" s="3" t="s">
        <v>22</v>
      </c>
      <c r="B12" s="63" t="s">
        <v>23</v>
      </c>
      <c r="C12" s="63"/>
      <c r="D12" s="3" t="s">
        <v>5</v>
      </c>
    </row>
    <row r="13" spans="1:4" ht="30" customHeight="1" x14ac:dyDescent="0.25">
      <c r="A13" s="8" t="s">
        <v>24</v>
      </c>
      <c r="B13" s="61" t="s">
        <v>25</v>
      </c>
      <c r="C13" s="61"/>
      <c r="D13" s="9">
        <v>9</v>
      </c>
    </row>
    <row r="14" spans="1:4" ht="30" customHeight="1" x14ac:dyDescent="0.25">
      <c r="A14" s="8" t="s">
        <v>26</v>
      </c>
      <c r="B14" s="61" t="s">
        <v>6</v>
      </c>
      <c r="C14" s="61"/>
      <c r="D14" s="9">
        <v>6</v>
      </c>
    </row>
    <row r="15" spans="1:4" ht="30" customHeight="1" x14ac:dyDescent="0.25">
      <c r="A15" s="8" t="s">
        <v>27</v>
      </c>
      <c r="B15" s="61" t="s">
        <v>6</v>
      </c>
      <c r="C15" s="61"/>
      <c r="D15" s="9">
        <v>7</v>
      </c>
    </row>
    <row r="16" spans="1:4" ht="30" customHeight="1" x14ac:dyDescent="0.25">
      <c r="A16" s="8" t="s">
        <v>28</v>
      </c>
      <c r="B16" s="61" t="s">
        <v>29</v>
      </c>
      <c r="C16" s="61"/>
      <c r="D16" s="9">
        <v>4</v>
      </c>
    </row>
    <row r="17" spans="1:4" ht="30" customHeight="1" x14ac:dyDescent="0.25">
      <c r="A17" s="8" t="s">
        <v>30</v>
      </c>
      <c r="B17" s="61" t="s">
        <v>12</v>
      </c>
      <c r="C17" s="61"/>
      <c r="D17" s="9">
        <v>5</v>
      </c>
    </row>
    <row r="18" spans="1:4" ht="30" customHeight="1" x14ac:dyDescent="0.25">
      <c r="A18" s="8" t="s">
        <v>31</v>
      </c>
      <c r="B18" s="61" t="s">
        <v>32</v>
      </c>
      <c r="C18" s="61"/>
      <c r="D18" s="9">
        <v>12</v>
      </c>
    </row>
    <row r="19" spans="1:4" ht="30" customHeight="1" x14ac:dyDescent="0.25">
      <c r="A19" s="8" t="s">
        <v>33</v>
      </c>
      <c r="B19" s="61" t="s">
        <v>18</v>
      </c>
      <c r="C19" s="61"/>
      <c r="D19" s="9">
        <v>7</v>
      </c>
    </row>
    <row r="21" spans="1:4" x14ac:dyDescent="0.25">
      <c r="A21" s="60" t="s">
        <v>34</v>
      </c>
      <c r="B21" s="60"/>
      <c r="C21" s="60"/>
      <c r="D21" s="60"/>
    </row>
  </sheetData>
  <mergeCells count="11">
    <mergeCell ref="A1:D1"/>
    <mergeCell ref="A2:D2"/>
    <mergeCell ref="B12:C12"/>
    <mergeCell ref="B13:C13"/>
    <mergeCell ref="B14:C14"/>
    <mergeCell ref="A21:D21"/>
    <mergeCell ref="B15:C15"/>
    <mergeCell ref="B16:C16"/>
    <mergeCell ref="B17:C17"/>
    <mergeCell ref="B18:C18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showGridLines="0" topLeftCell="G1" zoomScaleNormal="100" workbookViewId="0">
      <pane ySplit="3" topLeftCell="A50" activePane="bottomLeft" state="frozen"/>
      <selection pane="bottomLeft"/>
    </sheetView>
  </sheetViews>
  <sheetFormatPr defaultColWidth="8.5703125" defaultRowHeight="15" x14ac:dyDescent="0.25"/>
  <cols>
    <col min="1" max="1" width="17" customWidth="1"/>
    <col min="2" max="2" width="14" customWidth="1"/>
    <col min="3" max="3" width="25" customWidth="1"/>
    <col min="4" max="4" width="17" customWidth="1"/>
    <col min="5" max="5" width="6" customWidth="1"/>
    <col min="6" max="6" width="28" customWidth="1"/>
    <col min="7" max="7" width="38" customWidth="1"/>
    <col min="8" max="8" width="40" customWidth="1"/>
    <col min="9" max="9" width="14" customWidth="1"/>
    <col min="10" max="10" width="48" customWidth="1"/>
    <col min="11" max="11" width="21" customWidth="1"/>
  </cols>
  <sheetData>
    <row r="1" spans="1:11" ht="21.75" customHeight="1" x14ac:dyDescent="0.3">
      <c r="A1" s="62" t="s">
        <v>35</v>
      </c>
      <c r="B1" s="62"/>
      <c r="C1" s="62"/>
      <c r="D1" s="62"/>
      <c r="E1" s="62"/>
      <c r="F1" s="62"/>
      <c r="G1" s="62"/>
      <c r="H1" s="4"/>
      <c r="I1" s="4"/>
      <c r="J1" s="4"/>
    </row>
    <row r="2" spans="1:11" ht="27.75" customHeight="1" x14ac:dyDescent="0.25">
      <c r="A2" s="59" t="s">
        <v>36</v>
      </c>
      <c r="B2" s="59"/>
      <c r="C2" s="59"/>
      <c r="D2" s="59"/>
      <c r="E2" s="59"/>
      <c r="F2" s="59"/>
      <c r="G2" s="59"/>
      <c r="H2" s="59"/>
      <c r="I2" s="59"/>
      <c r="J2" s="59"/>
    </row>
    <row r="3" spans="1:11" ht="30" customHeight="1" x14ac:dyDescent="0.25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</row>
    <row r="4" spans="1:11" ht="49.5" customHeight="1" x14ac:dyDescent="0.25">
      <c r="A4" s="10" t="s">
        <v>24</v>
      </c>
      <c r="B4" s="11" t="s">
        <v>48</v>
      </c>
      <c r="C4" s="11" t="s">
        <v>49</v>
      </c>
      <c r="D4" s="12" t="s">
        <v>50</v>
      </c>
      <c r="E4" s="13" t="s">
        <v>51</v>
      </c>
      <c r="F4" s="11" t="s">
        <v>52</v>
      </c>
      <c r="G4" s="11" t="s">
        <v>53</v>
      </c>
      <c r="H4" s="11" t="s">
        <v>54</v>
      </c>
      <c r="I4" s="14" t="s">
        <v>55</v>
      </c>
      <c r="J4" s="11" t="s">
        <v>56</v>
      </c>
      <c r="K4" s="11" t="s">
        <v>57</v>
      </c>
    </row>
    <row r="5" spans="1:11" ht="49.5" customHeight="1" x14ac:dyDescent="0.25">
      <c r="A5" s="11" t="s">
        <v>24</v>
      </c>
      <c r="B5" s="11" t="s">
        <v>48</v>
      </c>
      <c r="C5" s="11" t="s">
        <v>58</v>
      </c>
      <c r="D5" s="12" t="s">
        <v>50</v>
      </c>
      <c r="E5" s="13" t="s">
        <v>51</v>
      </c>
      <c r="F5" s="11" t="s">
        <v>59</v>
      </c>
      <c r="G5" s="11" t="s">
        <v>60</v>
      </c>
      <c r="H5" s="11" t="s">
        <v>61</v>
      </c>
      <c r="I5" s="14" t="s">
        <v>62</v>
      </c>
      <c r="J5" s="11" t="s">
        <v>63</v>
      </c>
      <c r="K5" s="11" t="s">
        <v>64</v>
      </c>
    </row>
    <row r="6" spans="1:11" ht="49.5" customHeight="1" x14ac:dyDescent="0.25">
      <c r="A6" s="11" t="s">
        <v>24</v>
      </c>
      <c r="B6" s="11" t="s">
        <v>48</v>
      </c>
      <c r="C6" s="11" t="s">
        <v>65</v>
      </c>
      <c r="D6" s="15" t="s">
        <v>66</v>
      </c>
      <c r="E6" s="13" t="s">
        <v>51</v>
      </c>
      <c r="F6" s="11" t="s">
        <v>67</v>
      </c>
      <c r="G6" s="11" t="s">
        <v>68</v>
      </c>
      <c r="H6" s="11" t="s">
        <v>69</v>
      </c>
      <c r="I6" s="16" t="s">
        <v>70</v>
      </c>
      <c r="J6" s="11" t="s">
        <v>71</v>
      </c>
      <c r="K6" s="11" t="s">
        <v>57</v>
      </c>
    </row>
    <row r="7" spans="1:11" ht="36" customHeight="1" x14ac:dyDescent="0.25">
      <c r="A7" s="11" t="s">
        <v>24</v>
      </c>
      <c r="B7" s="11" t="s">
        <v>48</v>
      </c>
      <c r="C7" s="11" t="s">
        <v>72</v>
      </c>
      <c r="D7" s="17" t="s">
        <v>73</v>
      </c>
      <c r="E7" s="18" t="s">
        <v>74</v>
      </c>
      <c r="F7" s="11" t="s">
        <v>75</v>
      </c>
      <c r="G7" s="11" t="s">
        <v>76</v>
      </c>
      <c r="H7" s="11" t="s">
        <v>77</v>
      </c>
      <c r="I7" s="14" t="s">
        <v>78</v>
      </c>
      <c r="J7" s="11" t="s">
        <v>79</v>
      </c>
      <c r="K7" s="11" t="s">
        <v>80</v>
      </c>
    </row>
    <row r="8" spans="1:11" ht="49.5" customHeight="1" x14ac:dyDescent="0.25">
      <c r="A8" s="11" t="s">
        <v>24</v>
      </c>
      <c r="B8" s="11" t="s">
        <v>48</v>
      </c>
      <c r="C8" s="11" t="s">
        <v>81</v>
      </c>
      <c r="D8" s="12" t="s">
        <v>50</v>
      </c>
      <c r="E8" s="18" t="s">
        <v>74</v>
      </c>
      <c r="F8" s="11" t="s">
        <v>82</v>
      </c>
      <c r="G8" s="11" t="s">
        <v>83</v>
      </c>
      <c r="H8" s="11" t="s">
        <v>84</v>
      </c>
      <c r="I8" s="14" t="s">
        <v>85</v>
      </c>
      <c r="J8" s="11" t="s">
        <v>86</v>
      </c>
      <c r="K8" s="11" t="s">
        <v>87</v>
      </c>
    </row>
    <row r="9" spans="1:11" ht="36" customHeight="1" x14ac:dyDescent="0.25">
      <c r="A9" s="11" t="s">
        <v>24</v>
      </c>
      <c r="B9" s="11" t="s">
        <v>48</v>
      </c>
      <c r="C9" s="11" t="s">
        <v>88</v>
      </c>
      <c r="D9" s="17" t="s">
        <v>73</v>
      </c>
      <c r="E9" s="18" t="s">
        <v>74</v>
      </c>
      <c r="F9" s="11" t="s">
        <v>89</v>
      </c>
      <c r="G9" s="11" t="s">
        <v>90</v>
      </c>
      <c r="H9" s="11" t="s">
        <v>91</v>
      </c>
      <c r="I9" s="16" t="s">
        <v>70</v>
      </c>
      <c r="J9" s="11" t="s">
        <v>92</v>
      </c>
      <c r="K9" s="11" t="s">
        <v>93</v>
      </c>
    </row>
    <row r="10" spans="1:11" ht="36" customHeight="1" x14ac:dyDescent="0.25">
      <c r="A10" s="11" t="s">
        <v>24</v>
      </c>
      <c r="B10" s="11" t="s">
        <v>48</v>
      </c>
      <c r="C10" s="11" t="s">
        <v>94</v>
      </c>
      <c r="D10" s="15" t="s">
        <v>66</v>
      </c>
      <c r="E10" s="18" t="s">
        <v>74</v>
      </c>
      <c r="F10" s="11" t="s">
        <v>95</v>
      </c>
      <c r="G10" s="11" t="s">
        <v>96</v>
      </c>
      <c r="H10" s="11" t="s">
        <v>97</v>
      </c>
      <c r="I10" s="16" t="s">
        <v>70</v>
      </c>
      <c r="J10" s="11" t="s">
        <v>98</v>
      </c>
      <c r="K10" s="11" t="s">
        <v>99</v>
      </c>
    </row>
    <row r="11" spans="1:11" ht="36" customHeight="1" x14ac:dyDescent="0.25">
      <c r="A11" s="11" t="s">
        <v>24</v>
      </c>
      <c r="B11" s="11" t="s">
        <v>48</v>
      </c>
      <c r="C11" s="11" t="s">
        <v>100</v>
      </c>
      <c r="D11" s="15" t="s">
        <v>66</v>
      </c>
      <c r="E11" s="19" t="s">
        <v>101</v>
      </c>
      <c r="F11" s="11" t="s">
        <v>102</v>
      </c>
      <c r="G11" s="11" t="s">
        <v>103</v>
      </c>
      <c r="H11" s="11" t="s">
        <v>104</v>
      </c>
      <c r="I11" s="16" t="s">
        <v>70</v>
      </c>
      <c r="J11" s="11" t="s">
        <v>105</v>
      </c>
      <c r="K11" s="11" t="s">
        <v>106</v>
      </c>
    </row>
    <row r="12" spans="1:11" ht="49.5" customHeight="1" x14ac:dyDescent="0.25">
      <c r="A12" s="11" t="s">
        <v>24</v>
      </c>
      <c r="B12" s="11" t="s">
        <v>48</v>
      </c>
      <c r="C12" s="11" t="s">
        <v>107</v>
      </c>
      <c r="D12" s="15" t="s">
        <v>66</v>
      </c>
      <c r="E12" s="19" t="s">
        <v>101</v>
      </c>
      <c r="F12" s="11" t="s">
        <v>108</v>
      </c>
      <c r="G12" s="11" t="s">
        <v>109</v>
      </c>
      <c r="H12" s="11" t="s">
        <v>110</v>
      </c>
      <c r="I12" s="16" t="s">
        <v>70</v>
      </c>
      <c r="J12" s="11" t="s">
        <v>111</v>
      </c>
      <c r="K12" s="11" t="s">
        <v>112</v>
      </c>
    </row>
    <row r="13" spans="1:11" ht="49.5" customHeight="1" x14ac:dyDescent="0.25">
      <c r="A13" s="20" t="s">
        <v>26</v>
      </c>
      <c r="B13" s="21" t="s">
        <v>113</v>
      </c>
      <c r="C13" s="21" t="s">
        <v>114</v>
      </c>
      <c r="D13" s="22" t="s">
        <v>73</v>
      </c>
      <c r="E13" s="23" t="s">
        <v>74</v>
      </c>
      <c r="F13" s="21" t="s">
        <v>115</v>
      </c>
      <c r="G13" s="21" t="s">
        <v>116</v>
      </c>
      <c r="H13" s="21" t="s">
        <v>117</v>
      </c>
      <c r="I13" s="24" t="s">
        <v>66</v>
      </c>
      <c r="J13" s="21" t="s">
        <v>118</v>
      </c>
      <c r="K13" s="21" t="s">
        <v>119</v>
      </c>
    </row>
    <row r="14" spans="1:11" ht="36" customHeight="1" x14ac:dyDescent="0.25">
      <c r="A14" s="11" t="s">
        <v>26</v>
      </c>
      <c r="B14" s="11" t="s">
        <v>113</v>
      </c>
      <c r="C14" s="11" t="s">
        <v>120</v>
      </c>
      <c r="D14" s="25" t="s">
        <v>121</v>
      </c>
      <c r="E14" s="13" t="s">
        <v>51</v>
      </c>
      <c r="F14" s="11" t="s">
        <v>122</v>
      </c>
      <c r="G14" s="11" t="s">
        <v>123</v>
      </c>
      <c r="H14" s="11" t="s">
        <v>124</v>
      </c>
      <c r="I14" s="16" t="s">
        <v>70</v>
      </c>
      <c r="J14" s="11" t="s">
        <v>125</v>
      </c>
      <c r="K14" s="11" t="s">
        <v>57</v>
      </c>
    </row>
    <row r="15" spans="1:11" ht="36" customHeight="1" x14ac:dyDescent="0.25">
      <c r="A15" s="11" t="s">
        <v>26</v>
      </c>
      <c r="B15" s="11" t="s">
        <v>113</v>
      </c>
      <c r="C15" s="11" t="s">
        <v>126</v>
      </c>
      <c r="D15" s="12" t="s">
        <v>50</v>
      </c>
      <c r="E15" s="18" t="s">
        <v>74</v>
      </c>
      <c r="F15" s="11" t="s">
        <v>127</v>
      </c>
      <c r="G15" s="11" t="s">
        <v>128</v>
      </c>
      <c r="H15" s="11" t="s">
        <v>129</v>
      </c>
      <c r="I15" s="16" t="s">
        <v>70</v>
      </c>
      <c r="J15" s="11" t="s">
        <v>130</v>
      </c>
      <c r="K15" s="11" t="s">
        <v>131</v>
      </c>
    </row>
    <row r="16" spans="1:11" ht="36" customHeight="1" x14ac:dyDescent="0.25">
      <c r="A16" s="11" t="s">
        <v>26</v>
      </c>
      <c r="B16" s="11" t="s">
        <v>113</v>
      </c>
      <c r="C16" s="11" t="s">
        <v>132</v>
      </c>
      <c r="D16" s="17" t="s">
        <v>73</v>
      </c>
      <c r="E16" s="18" t="s">
        <v>74</v>
      </c>
      <c r="F16" s="11" t="s">
        <v>133</v>
      </c>
      <c r="G16" s="11" t="s">
        <v>134</v>
      </c>
      <c r="H16" s="11" t="s">
        <v>135</v>
      </c>
      <c r="I16" s="16" t="s">
        <v>70</v>
      </c>
      <c r="J16" s="11" t="s">
        <v>136</v>
      </c>
      <c r="K16" s="11" t="s">
        <v>93</v>
      </c>
    </row>
    <row r="17" spans="1:11" ht="36" customHeight="1" x14ac:dyDescent="0.25">
      <c r="A17" s="11" t="s">
        <v>26</v>
      </c>
      <c r="B17" s="11" t="s">
        <v>113</v>
      </c>
      <c r="C17" s="11" t="s">
        <v>137</v>
      </c>
      <c r="D17" s="26" t="s">
        <v>138</v>
      </c>
      <c r="E17" s="13" t="s">
        <v>51</v>
      </c>
      <c r="F17" s="11" t="s">
        <v>139</v>
      </c>
      <c r="G17" s="11" t="s">
        <v>140</v>
      </c>
      <c r="H17" s="11" t="s">
        <v>141</v>
      </c>
      <c r="I17" s="16" t="s">
        <v>70</v>
      </c>
      <c r="J17" s="11" t="s">
        <v>142</v>
      </c>
      <c r="K17" s="11" t="s">
        <v>143</v>
      </c>
    </row>
    <row r="18" spans="1:11" ht="36" customHeight="1" x14ac:dyDescent="0.25">
      <c r="A18" s="11" t="s">
        <v>26</v>
      </c>
      <c r="B18" s="11" t="s">
        <v>113</v>
      </c>
      <c r="C18" s="11" t="s">
        <v>144</v>
      </c>
      <c r="D18" s="12" t="s">
        <v>50</v>
      </c>
      <c r="E18" s="19" t="s">
        <v>101</v>
      </c>
      <c r="F18" s="11" t="s">
        <v>145</v>
      </c>
      <c r="G18" s="11" t="s">
        <v>146</v>
      </c>
      <c r="H18" s="11" t="s">
        <v>147</v>
      </c>
      <c r="I18" s="16" t="s">
        <v>70</v>
      </c>
      <c r="J18" s="11" t="s">
        <v>148</v>
      </c>
      <c r="K18" s="11" t="s">
        <v>106</v>
      </c>
    </row>
    <row r="19" spans="1:11" ht="36" customHeight="1" x14ac:dyDescent="0.25">
      <c r="A19" s="20" t="s">
        <v>27</v>
      </c>
      <c r="B19" s="21" t="s">
        <v>149</v>
      </c>
      <c r="C19" s="21" t="s">
        <v>150</v>
      </c>
      <c r="D19" s="22" t="s">
        <v>73</v>
      </c>
      <c r="E19" s="23" t="s">
        <v>74</v>
      </c>
      <c r="F19" s="21" t="s">
        <v>151</v>
      </c>
      <c r="G19" s="21" t="s">
        <v>152</v>
      </c>
      <c r="H19" s="21" t="s">
        <v>153</v>
      </c>
      <c r="I19" s="24" t="s">
        <v>66</v>
      </c>
      <c r="J19" s="21" t="s">
        <v>154</v>
      </c>
      <c r="K19" s="21" t="s">
        <v>119</v>
      </c>
    </row>
    <row r="20" spans="1:11" ht="36" customHeight="1" x14ac:dyDescent="0.25">
      <c r="A20" s="11" t="s">
        <v>27</v>
      </c>
      <c r="B20" s="11" t="s">
        <v>149</v>
      </c>
      <c r="C20" s="11" t="s">
        <v>155</v>
      </c>
      <c r="D20" s="25" t="s">
        <v>121</v>
      </c>
      <c r="E20" s="18" t="s">
        <v>74</v>
      </c>
      <c r="F20" s="11" t="s">
        <v>156</v>
      </c>
      <c r="G20" s="11" t="s">
        <v>157</v>
      </c>
      <c r="H20" s="11" t="s">
        <v>158</v>
      </c>
      <c r="I20" s="16" t="s">
        <v>70</v>
      </c>
      <c r="J20" s="11" t="s">
        <v>159</v>
      </c>
      <c r="K20" s="11" t="s">
        <v>160</v>
      </c>
    </row>
    <row r="21" spans="1:11" ht="36" customHeight="1" x14ac:dyDescent="0.25">
      <c r="A21" s="11" t="s">
        <v>27</v>
      </c>
      <c r="B21" s="11" t="s">
        <v>149</v>
      </c>
      <c r="C21" s="11" t="s">
        <v>161</v>
      </c>
      <c r="D21" s="25" t="s">
        <v>121</v>
      </c>
      <c r="E21" s="18" t="s">
        <v>74</v>
      </c>
      <c r="F21" s="11" t="s">
        <v>162</v>
      </c>
      <c r="G21" s="11" t="s">
        <v>163</v>
      </c>
      <c r="H21" s="11" t="s">
        <v>164</v>
      </c>
      <c r="I21" s="16" t="s">
        <v>70</v>
      </c>
      <c r="J21" s="11" t="s">
        <v>165</v>
      </c>
      <c r="K21" s="11" t="s">
        <v>64</v>
      </c>
    </row>
    <row r="22" spans="1:11" ht="36" customHeight="1" x14ac:dyDescent="0.25">
      <c r="A22" s="11" t="s">
        <v>27</v>
      </c>
      <c r="B22" s="11" t="s">
        <v>149</v>
      </c>
      <c r="C22" s="11" t="s">
        <v>166</v>
      </c>
      <c r="D22" s="25" t="s">
        <v>121</v>
      </c>
      <c r="E22" s="27" t="s">
        <v>167</v>
      </c>
      <c r="F22" s="11" t="s">
        <v>168</v>
      </c>
      <c r="G22" s="11" t="s">
        <v>169</v>
      </c>
      <c r="H22" s="11" t="s">
        <v>170</v>
      </c>
      <c r="I22" s="16" t="s">
        <v>70</v>
      </c>
      <c r="J22" s="11" t="s">
        <v>171</v>
      </c>
      <c r="K22" s="11" t="s">
        <v>172</v>
      </c>
    </row>
    <row r="23" spans="1:11" ht="49.5" customHeight="1" x14ac:dyDescent="0.25">
      <c r="A23" s="11" t="s">
        <v>27</v>
      </c>
      <c r="B23" s="11" t="s">
        <v>149</v>
      </c>
      <c r="C23" s="11" t="s">
        <v>173</v>
      </c>
      <c r="D23" s="25" t="s">
        <v>121</v>
      </c>
      <c r="E23" s="27" t="s">
        <v>167</v>
      </c>
      <c r="F23" s="11" t="s">
        <v>174</v>
      </c>
      <c r="G23" s="11" t="s">
        <v>175</v>
      </c>
      <c r="H23" s="11" t="s">
        <v>176</v>
      </c>
      <c r="I23" s="16" t="s">
        <v>70</v>
      </c>
      <c r="J23" s="11" t="s">
        <v>177</v>
      </c>
      <c r="K23" s="11" t="s">
        <v>178</v>
      </c>
    </row>
    <row r="24" spans="1:11" ht="36" customHeight="1" x14ac:dyDescent="0.25">
      <c r="A24" s="11" t="s">
        <v>27</v>
      </c>
      <c r="B24" s="11" t="s">
        <v>149</v>
      </c>
      <c r="C24" s="11" t="s">
        <v>179</v>
      </c>
      <c r="D24" s="25" t="s">
        <v>121</v>
      </c>
      <c r="E24" s="27" t="s">
        <v>167</v>
      </c>
      <c r="F24" s="11" t="s">
        <v>180</v>
      </c>
      <c r="G24" s="11" t="s">
        <v>181</v>
      </c>
      <c r="H24" s="11" t="s">
        <v>182</v>
      </c>
      <c r="I24" s="16" t="s">
        <v>70</v>
      </c>
      <c r="J24" s="11" t="s">
        <v>183</v>
      </c>
      <c r="K24" s="11" t="s">
        <v>184</v>
      </c>
    </row>
    <row r="25" spans="1:11" ht="36" customHeight="1" x14ac:dyDescent="0.25">
      <c r="A25" s="11" t="s">
        <v>27</v>
      </c>
      <c r="B25" s="11" t="s">
        <v>149</v>
      </c>
      <c r="C25" s="11" t="s">
        <v>185</v>
      </c>
      <c r="D25" s="17" t="s">
        <v>73</v>
      </c>
      <c r="E25" s="19" t="s">
        <v>101</v>
      </c>
      <c r="F25" s="11" t="s">
        <v>186</v>
      </c>
      <c r="G25" s="11" t="s">
        <v>187</v>
      </c>
      <c r="H25" s="11" t="s">
        <v>188</v>
      </c>
      <c r="I25" s="16" t="s">
        <v>70</v>
      </c>
      <c r="J25" s="11" t="s">
        <v>189</v>
      </c>
      <c r="K25" s="11" t="s">
        <v>190</v>
      </c>
    </row>
    <row r="26" spans="1:11" ht="36" customHeight="1" x14ac:dyDescent="0.25">
      <c r="A26" s="20" t="s">
        <v>28</v>
      </c>
      <c r="B26" s="21" t="s">
        <v>149</v>
      </c>
      <c r="C26" s="21" t="s">
        <v>191</v>
      </c>
      <c r="D26" s="22" t="s">
        <v>73</v>
      </c>
      <c r="E26" s="23" t="s">
        <v>74</v>
      </c>
      <c r="F26" s="21" t="s">
        <v>192</v>
      </c>
      <c r="G26" s="21" t="s">
        <v>193</v>
      </c>
      <c r="H26" s="21" t="s">
        <v>194</v>
      </c>
      <c r="I26" s="28" t="s">
        <v>70</v>
      </c>
      <c r="J26" s="21" t="s">
        <v>195</v>
      </c>
      <c r="K26" s="21" t="s">
        <v>93</v>
      </c>
    </row>
    <row r="27" spans="1:11" ht="36" customHeight="1" x14ac:dyDescent="0.25">
      <c r="A27" s="11" t="s">
        <v>28</v>
      </c>
      <c r="B27" s="11" t="s">
        <v>149</v>
      </c>
      <c r="C27" s="11" t="s">
        <v>196</v>
      </c>
      <c r="D27" s="17" t="s">
        <v>73</v>
      </c>
      <c r="E27" s="18" t="s">
        <v>74</v>
      </c>
      <c r="F27" s="11" t="s">
        <v>197</v>
      </c>
      <c r="G27" s="11" t="s">
        <v>198</v>
      </c>
      <c r="H27" s="11" t="s">
        <v>199</v>
      </c>
      <c r="I27" s="16" t="s">
        <v>70</v>
      </c>
      <c r="J27" s="11" t="s">
        <v>200</v>
      </c>
      <c r="K27" s="11" t="s">
        <v>93</v>
      </c>
    </row>
    <row r="28" spans="1:11" ht="36" customHeight="1" x14ac:dyDescent="0.25">
      <c r="A28" s="11" t="s">
        <v>28</v>
      </c>
      <c r="B28" s="11" t="s">
        <v>149</v>
      </c>
      <c r="C28" s="11" t="s">
        <v>201</v>
      </c>
      <c r="D28" s="17" t="s">
        <v>73</v>
      </c>
      <c r="E28" s="19" t="s">
        <v>101</v>
      </c>
      <c r="F28" s="11" t="s">
        <v>202</v>
      </c>
      <c r="G28" s="11" t="s">
        <v>203</v>
      </c>
      <c r="H28" s="11" t="s">
        <v>204</v>
      </c>
      <c r="I28" s="14" t="s">
        <v>205</v>
      </c>
      <c r="J28" s="11" t="s">
        <v>206</v>
      </c>
      <c r="K28" s="11" t="s">
        <v>106</v>
      </c>
    </row>
    <row r="29" spans="1:11" ht="36" customHeight="1" x14ac:dyDescent="0.25">
      <c r="A29" s="11" t="s">
        <v>28</v>
      </c>
      <c r="B29" s="11" t="s">
        <v>149</v>
      </c>
      <c r="C29" s="11" t="s">
        <v>207</v>
      </c>
      <c r="D29" s="17" t="s">
        <v>73</v>
      </c>
      <c r="E29" s="18" t="s">
        <v>74</v>
      </c>
      <c r="F29" s="11" t="s">
        <v>208</v>
      </c>
      <c r="G29" s="11" t="s">
        <v>209</v>
      </c>
      <c r="H29" s="11" t="s">
        <v>210</v>
      </c>
      <c r="I29" s="14" t="s">
        <v>211</v>
      </c>
      <c r="J29" s="11" t="s">
        <v>212</v>
      </c>
      <c r="K29" s="11" t="s">
        <v>213</v>
      </c>
    </row>
    <row r="30" spans="1:11" ht="36" customHeight="1" x14ac:dyDescent="0.25">
      <c r="A30" s="20" t="s">
        <v>30</v>
      </c>
      <c r="B30" s="21" t="s">
        <v>214</v>
      </c>
      <c r="C30" s="21" t="s">
        <v>215</v>
      </c>
      <c r="D30" s="22" t="s">
        <v>73</v>
      </c>
      <c r="E30" s="23" t="s">
        <v>74</v>
      </c>
      <c r="F30" s="21" t="s">
        <v>216</v>
      </c>
      <c r="G30" s="21" t="s">
        <v>217</v>
      </c>
      <c r="H30" s="21" t="s">
        <v>218</v>
      </c>
      <c r="I30" s="24" t="s">
        <v>78</v>
      </c>
      <c r="J30" s="21" t="s">
        <v>219</v>
      </c>
      <c r="K30" s="21" t="s">
        <v>80</v>
      </c>
    </row>
    <row r="31" spans="1:11" ht="36" customHeight="1" x14ac:dyDescent="0.25">
      <c r="A31" s="11" t="s">
        <v>30</v>
      </c>
      <c r="B31" s="11" t="s">
        <v>214</v>
      </c>
      <c r="C31" s="11" t="s">
        <v>220</v>
      </c>
      <c r="D31" s="12" t="s">
        <v>50</v>
      </c>
      <c r="E31" s="18" t="s">
        <v>74</v>
      </c>
      <c r="F31" s="11" t="s">
        <v>221</v>
      </c>
      <c r="G31" s="11" t="s">
        <v>222</v>
      </c>
      <c r="H31" s="11" t="s">
        <v>223</v>
      </c>
      <c r="I31" s="14" t="s">
        <v>85</v>
      </c>
      <c r="J31" s="11" t="s">
        <v>224</v>
      </c>
      <c r="K31" s="11" t="s">
        <v>87</v>
      </c>
    </row>
    <row r="32" spans="1:11" ht="36" customHeight="1" x14ac:dyDescent="0.25">
      <c r="A32" s="11" t="s">
        <v>30</v>
      </c>
      <c r="B32" s="11" t="s">
        <v>214</v>
      </c>
      <c r="C32" s="11" t="s">
        <v>225</v>
      </c>
      <c r="D32" s="29" t="s">
        <v>226</v>
      </c>
      <c r="E32" s="27" t="s">
        <v>167</v>
      </c>
      <c r="F32" s="11" t="s">
        <v>227</v>
      </c>
      <c r="G32" s="11" t="s">
        <v>228</v>
      </c>
      <c r="H32" s="11" t="s">
        <v>229</v>
      </c>
      <c r="I32" s="16" t="s">
        <v>70</v>
      </c>
      <c r="J32" s="11" t="s">
        <v>230</v>
      </c>
      <c r="K32" s="11" t="s">
        <v>231</v>
      </c>
    </row>
    <row r="33" spans="1:11" ht="36" customHeight="1" x14ac:dyDescent="0.25">
      <c r="A33" s="11" t="s">
        <v>30</v>
      </c>
      <c r="B33" s="11" t="s">
        <v>214</v>
      </c>
      <c r="C33" s="11" t="s">
        <v>137</v>
      </c>
      <c r="D33" s="26" t="s">
        <v>138</v>
      </c>
      <c r="E33" s="13" t="s">
        <v>51</v>
      </c>
      <c r="F33" s="11" t="s">
        <v>232</v>
      </c>
      <c r="G33" s="11" t="s">
        <v>140</v>
      </c>
      <c r="H33" s="11" t="s">
        <v>141</v>
      </c>
      <c r="I33" s="16" t="s">
        <v>70</v>
      </c>
      <c r="J33" s="11" t="s">
        <v>233</v>
      </c>
      <c r="K33" s="11" t="s">
        <v>143</v>
      </c>
    </row>
    <row r="34" spans="1:11" ht="36" customHeight="1" x14ac:dyDescent="0.25">
      <c r="A34" s="11" t="s">
        <v>30</v>
      </c>
      <c r="B34" s="11" t="s">
        <v>214</v>
      </c>
      <c r="C34" s="11" t="s">
        <v>234</v>
      </c>
      <c r="D34" s="29" t="s">
        <v>226</v>
      </c>
      <c r="E34" s="19" t="s">
        <v>101</v>
      </c>
      <c r="F34" s="11" t="s">
        <v>235</v>
      </c>
      <c r="G34" s="11" t="s">
        <v>236</v>
      </c>
      <c r="H34" s="11" t="s">
        <v>237</v>
      </c>
      <c r="I34" s="16" t="s">
        <v>70</v>
      </c>
      <c r="J34" s="11" t="s">
        <v>238</v>
      </c>
      <c r="K34" s="11" t="s">
        <v>178</v>
      </c>
    </row>
    <row r="35" spans="1:11" ht="36" customHeight="1" x14ac:dyDescent="0.25">
      <c r="A35" s="20" t="s">
        <v>31</v>
      </c>
      <c r="B35" s="21" t="s">
        <v>239</v>
      </c>
      <c r="C35" s="21" t="s">
        <v>240</v>
      </c>
      <c r="D35" s="30" t="s">
        <v>241</v>
      </c>
      <c r="E35" s="31" t="s">
        <v>51</v>
      </c>
      <c r="F35" s="21" t="s">
        <v>242</v>
      </c>
      <c r="G35" s="21" t="s">
        <v>243</v>
      </c>
      <c r="H35" s="21" t="s">
        <v>244</v>
      </c>
      <c r="I35" s="24" t="s">
        <v>55</v>
      </c>
      <c r="J35" s="21" t="s">
        <v>245</v>
      </c>
      <c r="K35" s="21" t="s">
        <v>57</v>
      </c>
    </row>
    <row r="36" spans="1:11" ht="36" customHeight="1" x14ac:dyDescent="0.25">
      <c r="A36" s="11" t="s">
        <v>31</v>
      </c>
      <c r="B36" s="11" t="s">
        <v>239</v>
      </c>
      <c r="C36" s="11" t="s">
        <v>246</v>
      </c>
      <c r="D36" s="32" t="s">
        <v>241</v>
      </c>
      <c r="E36" s="13" t="s">
        <v>51</v>
      </c>
      <c r="F36" s="11" t="s">
        <v>247</v>
      </c>
      <c r="G36" s="11" t="s">
        <v>248</v>
      </c>
      <c r="H36" s="11" t="s">
        <v>249</v>
      </c>
      <c r="I36" s="14" t="s">
        <v>250</v>
      </c>
      <c r="J36" s="11" t="s">
        <v>251</v>
      </c>
      <c r="K36" s="11" t="s">
        <v>252</v>
      </c>
    </row>
    <row r="37" spans="1:11" ht="36" customHeight="1" x14ac:dyDescent="0.25">
      <c r="A37" s="11" t="s">
        <v>31</v>
      </c>
      <c r="B37" s="11" t="s">
        <v>239</v>
      </c>
      <c r="C37" s="11" t="s">
        <v>253</v>
      </c>
      <c r="D37" s="26" t="s">
        <v>138</v>
      </c>
      <c r="E37" s="13" t="s">
        <v>51</v>
      </c>
      <c r="F37" s="11" t="s">
        <v>254</v>
      </c>
      <c r="G37" s="11" t="s">
        <v>255</v>
      </c>
      <c r="H37" s="11" t="s">
        <v>256</v>
      </c>
      <c r="I37" s="14" t="s">
        <v>62</v>
      </c>
      <c r="J37" s="11" t="s">
        <v>63</v>
      </c>
      <c r="K37" s="11" t="s">
        <v>64</v>
      </c>
    </row>
    <row r="38" spans="1:11" ht="36" customHeight="1" x14ac:dyDescent="0.25">
      <c r="A38" s="11" t="s">
        <v>31</v>
      </c>
      <c r="B38" s="11" t="s">
        <v>239</v>
      </c>
      <c r="C38" s="11" t="s">
        <v>137</v>
      </c>
      <c r="D38" s="26" t="s">
        <v>138</v>
      </c>
      <c r="E38" s="13" t="s">
        <v>51</v>
      </c>
      <c r="F38" s="11" t="s">
        <v>257</v>
      </c>
      <c r="G38" s="11" t="s">
        <v>140</v>
      </c>
      <c r="H38" s="11" t="s">
        <v>141</v>
      </c>
      <c r="I38" s="16" t="s">
        <v>70</v>
      </c>
      <c r="J38" s="11" t="s">
        <v>233</v>
      </c>
      <c r="K38" s="11" t="s">
        <v>143</v>
      </c>
    </row>
    <row r="39" spans="1:11" ht="36" customHeight="1" x14ac:dyDescent="0.25">
      <c r="A39" s="11" t="s">
        <v>31</v>
      </c>
      <c r="B39" s="11" t="s">
        <v>239</v>
      </c>
      <c r="C39" s="11" t="s">
        <v>258</v>
      </c>
      <c r="D39" s="26" t="s">
        <v>138</v>
      </c>
      <c r="E39" s="13" t="s">
        <v>51</v>
      </c>
      <c r="F39" s="11" t="s">
        <v>259</v>
      </c>
      <c r="G39" s="11" t="s">
        <v>260</v>
      </c>
      <c r="H39" s="11" t="s">
        <v>261</v>
      </c>
      <c r="I39" s="14" t="s">
        <v>262</v>
      </c>
      <c r="J39" s="11" t="s">
        <v>263</v>
      </c>
      <c r="K39" s="11" t="s">
        <v>264</v>
      </c>
    </row>
    <row r="40" spans="1:11" ht="36" customHeight="1" x14ac:dyDescent="0.25">
      <c r="A40" s="11" t="s">
        <v>31</v>
      </c>
      <c r="B40" s="11" t="s">
        <v>239</v>
      </c>
      <c r="C40" s="11" t="s">
        <v>265</v>
      </c>
      <c r="D40" s="26" t="s">
        <v>138</v>
      </c>
      <c r="E40" s="18" t="s">
        <v>74</v>
      </c>
      <c r="F40" s="11" t="s">
        <v>266</v>
      </c>
      <c r="G40" s="11" t="s">
        <v>267</v>
      </c>
      <c r="H40" s="11" t="s">
        <v>268</v>
      </c>
      <c r="I40" s="14" t="s">
        <v>269</v>
      </c>
      <c r="J40" s="11" t="s">
        <v>270</v>
      </c>
      <c r="K40" s="11" t="s">
        <v>271</v>
      </c>
    </row>
    <row r="41" spans="1:11" ht="36" customHeight="1" x14ac:dyDescent="0.25">
      <c r="A41" s="11" t="s">
        <v>31</v>
      </c>
      <c r="B41" s="11" t="s">
        <v>239</v>
      </c>
      <c r="C41" s="11" t="s">
        <v>272</v>
      </c>
      <c r="D41" s="29" t="s">
        <v>226</v>
      </c>
      <c r="E41" s="18" t="s">
        <v>74</v>
      </c>
      <c r="F41" s="11" t="s">
        <v>273</v>
      </c>
      <c r="G41" s="11" t="s">
        <v>274</v>
      </c>
      <c r="H41" s="11" t="s">
        <v>275</v>
      </c>
      <c r="I41" s="16" t="s">
        <v>70</v>
      </c>
      <c r="J41" s="11" t="s">
        <v>276</v>
      </c>
      <c r="K41" s="11" t="s">
        <v>131</v>
      </c>
    </row>
    <row r="42" spans="1:11" ht="36" customHeight="1" x14ac:dyDescent="0.25">
      <c r="A42" s="11" t="s">
        <v>31</v>
      </c>
      <c r="B42" s="11" t="s">
        <v>239</v>
      </c>
      <c r="C42" s="11" t="s">
        <v>277</v>
      </c>
      <c r="D42" s="29" t="s">
        <v>226</v>
      </c>
      <c r="E42" s="27" t="s">
        <v>167</v>
      </c>
      <c r="F42" s="11" t="s">
        <v>278</v>
      </c>
      <c r="G42" s="11" t="s">
        <v>279</v>
      </c>
      <c r="H42" s="11" t="s">
        <v>280</v>
      </c>
      <c r="I42" s="16" t="s">
        <v>70</v>
      </c>
      <c r="J42" s="11" t="s">
        <v>281</v>
      </c>
      <c r="K42" s="11" t="s">
        <v>57</v>
      </c>
    </row>
    <row r="43" spans="1:11" ht="36" customHeight="1" x14ac:dyDescent="0.25">
      <c r="A43" s="11" t="s">
        <v>31</v>
      </c>
      <c r="B43" s="11" t="s">
        <v>239</v>
      </c>
      <c r="C43" s="11" t="s">
        <v>282</v>
      </c>
      <c r="D43" s="29" t="s">
        <v>226</v>
      </c>
      <c r="E43" s="27" t="s">
        <v>167</v>
      </c>
      <c r="F43" s="11" t="s">
        <v>283</v>
      </c>
      <c r="G43" s="11" t="s">
        <v>284</v>
      </c>
      <c r="H43" s="11" t="s">
        <v>285</v>
      </c>
      <c r="I43" s="16" t="s">
        <v>70</v>
      </c>
      <c r="J43" s="11" t="s">
        <v>286</v>
      </c>
      <c r="K43" s="11" t="s">
        <v>172</v>
      </c>
    </row>
    <row r="44" spans="1:11" ht="36" customHeight="1" x14ac:dyDescent="0.25">
      <c r="A44" s="11" t="s">
        <v>31</v>
      </c>
      <c r="B44" s="11" t="s">
        <v>239</v>
      </c>
      <c r="C44" s="11" t="s">
        <v>287</v>
      </c>
      <c r="D44" s="29" t="s">
        <v>226</v>
      </c>
      <c r="E44" s="27" t="s">
        <v>167</v>
      </c>
      <c r="F44" s="11" t="s">
        <v>288</v>
      </c>
      <c r="G44" s="11" t="s">
        <v>289</v>
      </c>
      <c r="H44" s="11" t="s">
        <v>290</v>
      </c>
      <c r="I44" s="14" t="s">
        <v>291</v>
      </c>
      <c r="J44" s="11" t="s">
        <v>292</v>
      </c>
      <c r="K44" s="11" t="s">
        <v>293</v>
      </c>
    </row>
    <row r="45" spans="1:11" ht="36" customHeight="1" x14ac:dyDescent="0.25">
      <c r="A45" s="11" t="s">
        <v>31</v>
      </c>
      <c r="B45" s="11" t="s">
        <v>239</v>
      </c>
      <c r="C45" s="11" t="s">
        <v>294</v>
      </c>
      <c r="D45" s="26" t="s">
        <v>138</v>
      </c>
      <c r="E45" s="19" t="s">
        <v>101</v>
      </c>
      <c r="F45" s="11" t="s">
        <v>295</v>
      </c>
      <c r="G45" s="11" t="s">
        <v>296</v>
      </c>
      <c r="H45" s="11" t="s">
        <v>297</v>
      </c>
      <c r="I45" s="16" t="s">
        <v>70</v>
      </c>
      <c r="J45" s="11" t="s">
        <v>298</v>
      </c>
      <c r="K45" s="11" t="s">
        <v>299</v>
      </c>
    </row>
    <row r="46" spans="1:11" ht="36" customHeight="1" x14ac:dyDescent="0.25">
      <c r="A46" s="11" t="s">
        <v>31</v>
      </c>
      <c r="B46" s="11" t="s">
        <v>239</v>
      </c>
      <c r="C46" s="11" t="s">
        <v>300</v>
      </c>
      <c r="D46" s="32" t="s">
        <v>241</v>
      </c>
      <c r="E46" s="19" t="s">
        <v>101</v>
      </c>
      <c r="F46" s="11" t="s">
        <v>301</v>
      </c>
      <c r="G46" s="11" t="s">
        <v>302</v>
      </c>
      <c r="H46" s="11" t="s">
        <v>303</v>
      </c>
      <c r="I46" s="16" t="s">
        <v>70</v>
      </c>
      <c r="J46" s="11" t="s">
        <v>304</v>
      </c>
      <c r="K46" s="11" t="s">
        <v>305</v>
      </c>
    </row>
    <row r="47" spans="1:11" ht="36" customHeight="1" x14ac:dyDescent="0.25">
      <c r="A47" s="20" t="s">
        <v>33</v>
      </c>
      <c r="B47" s="21" t="s">
        <v>306</v>
      </c>
      <c r="C47" s="21" t="s">
        <v>307</v>
      </c>
      <c r="D47" s="33" t="s">
        <v>66</v>
      </c>
      <c r="E47" s="34" t="s">
        <v>101</v>
      </c>
      <c r="F47" s="21" t="s">
        <v>308</v>
      </c>
      <c r="G47" s="21" t="s">
        <v>309</v>
      </c>
      <c r="H47" s="21" t="s">
        <v>310</v>
      </c>
      <c r="I47" s="28" t="s">
        <v>70</v>
      </c>
      <c r="J47" s="21" t="s">
        <v>311</v>
      </c>
      <c r="K47" s="21" t="s">
        <v>112</v>
      </c>
    </row>
    <row r="48" spans="1:11" ht="36" customHeight="1" x14ac:dyDescent="0.25">
      <c r="A48" s="11" t="s">
        <v>33</v>
      </c>
      <c r="B48" s="11" t="s">
        <v>306</v>
      </c>
      <c r="C48" s="11" t="s">
        <v>312</v>
      </c>
      <c r="D48" s="26" t="s">
        <v>138</v>
      </c>
      <c r="E48" s="19" t="s">
        <v>101</v>
      </c>
      <c r="F48" s="11" t="s">
        <v>313</v>
      </c>
      <c r="G48" s="11" t="s">
        <v>314</v>
      </c>
      <c r="H48" s="11" t="s">
        <v>315</v>
      </c>
      <c r="I48" s="16" t="s">
        <v>70</v>
      </c>
      <c r="J48" s="11" t="s">
        <v>316</v>
      </c>
      <c r="K48" s="11" t="s">
        <v>317</v>
      </c>
    </row>
    <row r="49" spans="1:11" ht="36" customHeight="1" x14ac:dyDescent="0.25">
      <c r="A49" s="11" t="s">
        <v>33</v>
      </c>
      <c r="B49" s="11" t="s">
        <v>306</v>
      </c>
      <c r="C49" s="11" t="s">
        <v>318</v>
      </c>
      <c r="D49" s="26" t="s">
        <v>138</v>
      </c>
      <c r="E49" s="19" t="s">
        <v>101</v>
      </c>
      <c r="F49" s="11" t="s">
        <v>319</v>
      </c>
      <c r="G49" s="11" t="s">
        <v>320</v>
      </c>
      <c r="H49" s="11" t="s">
        <v>321</v>
      </c>
      <c r="I49" s="16" t="s">
        <v>70</v>
      </c>
      <c r="J49" s="11" t="s">
        <v>322</v>
      </c>
      <c r="K49" s="11" t="s">
        <v>317</v>
      </c>
    </row>
    <row r="50" spans="1:11" ht="36" customHeight="1" x14ac:dyDescent="0.25">
      <c r="A50" s="11" t="s">
        <v>33</v>
      </c>
      <c r="B50" s="11" t="s">
        <v>306</v>
      </c>
      <c r="C50" s="11" t="s">
        <v>323</v>
      </c>
      <c r="D50" s="26" t="s">
        <v>138</v>
      </c>
      <c r="E50" s="19" t="s">
        <v>101</v>
      </c>
      <c r="F50" s="11" t="s">
        <v>324</v>
      </c>
      <c r="G50" s="11" t="s">
        <v>325</v>
      </c>
      <c r="H50" s="11" t="s">
        <v>326</v>
      </c>
      <c r="I50" s="16" t="s">
        <v>70</v>
      </c>
      <c r="J50" s="11" t="s">
        <v>327</v>
      </c>
      <c r="K50" s="11" t="s">
        <v>317</v>
      </c>
    </row>
    <row r="51" spans="1:11" ht="36" customHeight="1" x14ac:dyDescent="0.25">
      <c r="A51" s="11" t="s">
        <v>33</v>
      </c>
      <c r="B51" s="11" t="s">
        <v>306</v>
      </c>
      <c r="C51" s="11" t="s">
        <v>328</v>
      </c>
      <c r="D51" s="12" t="s">
        <v>50</v>
      </c>
      <c r="E51" s="19" t="s">
        <v>101</v>
      </c>
      <c r="F51" s="11" t="s">
        <v>329</v>
      </c>
      <c r="G51" s="11" t="s">
        <v>330</v>
      </c>
      <c r="H51" s="11" t="s">
        <v>331</v>
      </c>
      <c r="I51" s="16" t="s">
        <v>70</v>
      </c>
      <c r="J51" s="11" t="s">
        <v>332</v>
      </c>
      <c r="K51" s="11" t="s">
        <v>106</v>
      </c>
    </row>
    <row r="52" spans="1:11" ht="36" customHeight="1" x14ac:dyDescent="0.25">
      <c r="A52" s="11" t="s">
        <v>33</v>
      </c>
      <c r="B52" s="11" t="s">
        <v>306</v>
      </c>
      <c r="C52" s="11" t="s">
        <v>333</v>
      </c>
      <c r="D52" s="12" t="s">
        <v>50</v>
      </c>
      <c r="E52" s="19" t="s">
        <v>101</v>
      </c>
      <c r="F52" s="11" t="s">
        <v>334</v>
      </c>
      <c r="G52" s="11" t="s">
        <v>335</v>
      </c>
      <c r="H52" s="11" t="s">
        <v>336</v>
      </c>
      <c r="I52" s="14" t="s">
        <v>205</v>
      </c>
      <c r="J52" s="11" t="s">
        <v>337</v>
      </c>
      <c r="K52" s="11" t="s">
        <v>106</v>
      </c>
    </row>
    <row r="53" spans="1:11" ht="36" customHeight="1" x14ac:dyDescent="0.25">
      <c r="A53" s="11" t="s">
        <v>33</v>
      </c>
      <c r="B53" s="11" t="s">
        <v>306</v>
      </c>
      <c r="C53" s="11" t="s">
        <v>338</v>
      </c>
      <c r="D53" s="29" t="s">
        <v>226</v>
      </c>
      <c r="E53" s="19" t="s">
        <v>101</v>
      </c>
      <c r="F53" s="11" t="s">
        <v>339</v>
      </c>
      <c r="G53" s="11" t="s">
        <v>340</v>
      </c>
      <c r="H53" s="11" t="s">
        <v>341</v>
      </c>
      <c r="I53" s="16" t="s">
        <v>70</v>
      </c>
      <c r="J53" s="11" t="s">
        <v>342</v>
      </c>
      <c r="K53" s="11" t="s">
        <v>93</v>
      </c>
    </row>
  </sheetData>
  <autoFilter ref="A3:K53" xr:uid="{00000000-0009-0000-0000-000001000000}"/>
  <mergeCells count="2">
    <mergeCell ref="A1:G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zoomScaleNormal="100" workbookViewId="0">
      <selection sqref="A1:D1"/>
    </sheetView>
  </sheetViews>
  <sheetFormatPr defaultColWidth="8.5703125" defaultRowHeight="15" x14ac:dyDescent="0.25"/>
  <cols>
    <col min="1" max="1" width="30" customWidth="1"/>
    <col min="2" max="2" width="26" customWidth="1"/>
    <col min="3" max="3" width="12" customWidth="1"/>
    <col min="4" max="4" width="6" customWidth="1"/>
  </cols>
  <sheetData>
    <row r="1" spans="1:4" ht="17.25" customHeight="1" x14ac:dyDescent="0.25">
      <c r="A1" s="58" t="s">
        <v>343</v>
      </c>
      <c r="B1" s="58"/>
      <c r="C1" s="58"/>
      <c r="D1" s="58"/>
    </row>
    <row r="2" spans="1:4" ht="25.5" customHeight="1" x14ac:dyDescent="0.25">
      <c r="A2" s="59" t="s">
        <v>344</v>
      </c>
      <c r="B2" s="59"/>
      <c r="C2" s="59"/>
      <c r="D2" s="59"/>
    </row>
    <row r="4" spans="1:4" ht="15" customHeight="1" x14ac:dyDescent="0.25">
      <c r="A4" s="3" t="s">
        <v>345</v>
      </c>
      <c r="B4" s="3" t="s">
        <v>346</v>
      </c>
      <c r="C4" s="3" t="s">
        <v>347</v>
      </c>
      <c r="D4" s="3"/>
    </row>
    <row r="5" spans="1:4" ht="15" customHeight="1" x14ac:dyDescent="0.25">
      <c r="A5" s="35" t="s">
        <v>348</v>
      </c>
      <c r="B5" s="35" t="s">
        <v>349</v>
      </c>
      <c r="C5" s="36">
        <v>0.25</v>
      </c>
    </row>
    <row r="6" spans="1:4" ht="15" customHeight="1" x14ac:dyDescent="0.25">
      <c r="A6" s="35" t="s">
        <v>350</v>
      </c>
      <c r="B6" s="35" t="s">
        <v>178</v>
      </c>
      <c r="C6" s="36">
        <v>0.2</v>
      </c>
    </row>
    <row r="7" spans="1:4" ht="15" customHeight="1" x14ac:dyDescent="0.25">
      <c r="A7" s="35" t="s">
        <v>351</v>
      </c>
      <c r="B7" s="35" t="s">
        <v>184</v>
      </c>
      <c r="C7" s="36">
        <v>0.15</v>
      </c>
    </row>
    <row r="8" spans="1:4" ht="15" customHeight="1" x14ac:dyDescent="0.25">
      <c r="A8" s="35" t="s">
        <v>352</v>
      </c>
      <c r="B8" s="35" t="s">
        <v>160</v>
      </c>
      <c r="C8" s="36">
        <v>0.15</v>
      </c>
    </row>
    <row r="9" spans="1:4" ht="15" customHeight="1" x14ac:dyDescent="0.25">
      <c r="A9" s="35" t="s">
        <v>353</v>
      </c>
      <c r="B9" s="35" t="s">
        <v>64</v>
      </c>
      <c r="C9" s="36">
        <v>0.15</v>
      </c>
    </row>
    <row r="10" spans="1:4" ht="15" customHeight="1" x14ac:dyDescent="0.25">
      <c r="A10" s="35" t="s">
        <v>354</v>
      </c>
      <c r="B10" s="35" t="s">
        <v>178</v>
      </c>
      <c r="C10" s="36">
        <v>0.1</v>
      </c>
    </row>
    <row r="11" spans="1:4" ht="15" customHeight="1" x14ac:dyDescent="0.25">
      <c r="A11" s="37" t="s">
        <v>355</v>
      </c>
      <c r="B11" s="38" t="s">
        <v>356</v>
      </c>
      <c r="C11" s="39">
        <f>SUM(C5:C10)</f>
        <v>1</v>
      </c>
    </row>
    <row r="13" spans="1:4" ht="30" customHeight="1" x14ac:dyDescent="0.25">
      <c r="A13" s="40" t="s">
        <v>357</v>
      </c>
      <c r="B13" s="64" t="s">
        <v>358</v>
      </c>
      <c r="C13" s="64"/>
      <c r="D13" s="64"/>
    </row>
    <row r="14" spans="1:4" ht="30" customHeight="1" x14ac:dyDescent="0.25">
      <c r="A14" s="40" t="s">
        <v>359</v>
      </c>
      <c r="B14" s="64" t="s">
        <v>360</v>
      </c>
      <c r="C14" s="64"/>
      <c r="D14" s="64"/>
    </row>
    <row r="15" spans="1:4" ht="30" customHeight="1" x14ac:dyDescent="0.25">
      <c r="A15" s="40" t="s">
        <v>361</v>
      </c>
      <c r="B15" s="64" t="s">
        <v>362</v>
      </c>
      <c r="C15" s="64"/>
      <c r="D15" s="64"/>
    </row>
    <row r="16" spans="1:4" ht="30" customHeight="1" x14ac:dyDescent="0.25">
      <c r="A16" s="40" t="s">
        <v>363</v>
      </c>
      <c r="B16" s="64" t="s">
        <v>364</v>
      </c>
      <c r="C16" s="64"/>
      <c r="D16" s="64"/>
    </row>
  </sheetData>
  <mergeCells count="6">
    <mergeCell ref="B16:D16"/>
    <mergeCell ref="A1:D1"/>
    <mergeCell ref="A2:D2"/>
    <mergeCell ref="B13:D13"/>
    <mergeCell ref="B14:D14"/>
    <mergeCell ref="B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showGridLines="0" zoomScaleNormal="100" workbookViewId="0">
      <selection sqref="A1:C1"/>
    </sheetView>
  </sheetViews>
  <sheetFormatPr defaultColWidth="8.5703125" defaultRowHeight="15" x14ac:dyDescent="0.25"/>
  <cols>
    <col min="1" max="1" width="10" customWidth="1"/>
    <col min="2" max="2" width="24" customWidth="1"/>
    <col min="3" max="3" width="80" customWidth="1"/>
  </cols>
  <sheetData>
    <row r="1" spans="1:3" ht="17.25" customHeight="1" x14ac:dyDescent="0.25">
      <c r="A1" s="58" t="s">
        <v>365</v>
      </c>
      <c r="B1" s="58"/>
      <c r="C1" s="58"/>
    </row>
    <row r="3" spans="1:3" ht="15" customHeight="1" x14ac:dyDescent="0.25">
      <c r="A3" s="7" t="s">
        <v>366</v>
      </c>
    </row>
    <row r="4" spans="1:3" ht="15" customHeight="1" x14ac:dyDescent="0.25">
      <c r="A4" s="3" t="s">
        <v>367</v>
      </c>
      <c r="B4" s="3" t="s">
        <v>41</v>
      </c>
      <c r="C4" s="3" t="s">
        <v>368</v>
      </c>
    </row>
    <row r="5" spans="1:3" ht="15" customHeight="1" x14ac:dyDescent="0.25">
      <c r="A5" s="41" t="s">
        <v>51</v>
      </c>
      <c r="B5" s="42" t="s">
        <v>369</v>
      </c>
      <c r="C5" s="2" t="s">
        <v>370</v>
      </c>
    </row>
    <row r="6" spans="1:3" ht="15" customHeight="1" x14ac:dyDescent="0.25">
      <c r="A6" s="43" t="s">
        <v>74</v>
      </c>
      <c r="B6" s="42" t="s">
        <v>371</v>
      </c>
      <c r="C6" s="2" t="s">
        <v>372</v>
      </c>
    </row>
    <row r="7" spans="1:3" ht="15" customHeight="1" x14ac:dyDescent="0.25">
      <c r="A7" s="44" t="s">
        <v>167</v>
      </c>
      <c r="B7" s="42" t="s">
        <v>373</v>
      </c>
      <c r="C7" s="2" t="s">
        <v>374</v>
      </c>
    </row>
    <row r="8" spans="1:3" ht="15" customHeight="1" x14ac:dyDescent="0.25">
      <c r="A8" s="45" t="s">
        <v>101</v>
      </c>
      <c r="B8" s="42" t="s">
        <v>375</v>
      </c>
      <c r="C8" s="2" t="s">
        <v>376</v>
      </c>
    </row>
    <row r="10" spans="1:3" ht="15" customHeight="1" x14ac:dyDescent="0.25">
      <c r="A10" s="7" t="s">
        <v>377</v>
      </c>
    </row>
    <row r="11" spans="1:3" ht="30" customHeight="1" x14ac:dyDescent="0.25">
      <c r="A11" s="46" t="s">
        <v>378</v>
      </c>
      <c r="B11" s="64" t="s">
        <v>379</v>
      </c>
      <c r="C11" s="64"/>
    </row>
    <row r="12" spans="1:3" ht="30" customHeight="1" x14ac:dyDescent="0.25">
      <c r="A12" s="46" t="s">
        <v>378</v>
      </c>
      <c r="B12" s="64" t="s">
        <v>380</v>
      </c>
      <c r="C12" s="64"/>
    </row>
    <row r="13" spans="1:3" ht="30" customHeight="1" x14ac:dyDescent="0.25">
      <c r="A13" s="46" t="s">
        <v>378</v>
      </c>
      <c r="B13" s="64" t="s">
        <v>381</v>
      </c>
      <c r="C13" s="64"/>
    </row>
    <row r="14" spans="1:3" ht="30" customHeight="1" x14ac:dyDescent="0.25">
      <c r="A14" s="46" t="s">
        <v>378</v>
      </c>
      <c r="B14" s="64" t="s">
        <v>382</v>
      </c>
      <c r="C14" s="64"/>
    </row>
    <row r="15" spans="1:3" ht="30" customHeight="1" x14ac:dyDescent="0.25">
      <c r="A15" s="46" t="s">
        <v>378</v>
      </c>
      <c r="B15" s="64" t="s">
        <v>383</v>
      </c>
      <c r="C15" s="64"/>
    </row>
    <row r="16" spans="1:3" ht="30" customHeight="1" x14ac:dyDescent="0.25">
      <c r="A16" s="46" t="s">
        <v>378</v>
      </c>
      <c r="B16" s="64" t="s">
        <v>384</v>
      </c>
      <c r="C16" s="64"/>
    </row>
    <row r="17" spans="1:3" ht="30" customHeight="1" x14ac:dyDescent="0.25">
      <c r="A17" s="46" t="s">
        <v>378</v>
      </c>
      <c r="B17" s="64" t="s">
        <v>385</v>
      </c>
      <c r="C17" s="64"/>
    </row>
    <row r="19" spans="1:3" ht="15" customHeight="1" x14ac:dyDescent="0.25">
      <c r="A19" s="7" t="s">
        <v>386</v>
      </c>
    </row>
    <row r="20" spans="1:3" ht="15" customHeight="1" x14ac:dyDescent="0.25">
      <c r="A20" s="47" t="s">
        <v>387</v>
      </c>
      <c r="C20" s="47" t="s">
        <v>368</v>
      </c>
    </row>
    <row r="21" spans="1:3" ht="30" customHeight="1" x14ac:dyDescent="0.25">
      <c r="A21" s="48" t="s">
        <v>66</v>
      </c>
      <c r="B21" s="65" t="s">
        <v>388</v>
      </c>
      <c r="C21" s="65"/>
    </row>
    <row r="22" spans="1:3" ht="30" customHeight="1" x14ac:dyDescent="0.25">
      <c r="A22" s="49" t="s">
        <v>73</v>
      </c>
      <c r="B22" s="65" t="s">
        <v>389</v>
      </c>
      <c r="C22" s="65"/>
    </row>
    <row r="23" spans="1:3" ht="30" customHeight="1" x14ac:dyDescent="0.25">
      <c r="A23" s="50" t="s">
        <v>121</v>
      </c>
      <c r="B23" s="65" t="s">
        <v>390</v>
      </c>
      <c r="C23" s="65"/>
    </row>
    <row r="24" spans="1:3" ht="30" customHeight="1" x14ac:dyDescent="0.25">
      <c r="A24" s="51" t="s">
        <v>50</v>
      </c>
      <c r="B24" s="65" t="s">
        <v>391</v>
      </c>
      <c r="C24" s="65"/>
    </row>
    <row r="25" spans="1:3" ht="30" customHeight="1" x14ac:dyDescent="0.25">
      <c r="A25" s="52" t="s">
        <v>226</v>
      </c>
      <c r="B25" s="65" t="s">
        <v>392</v>
      </c>
      <c r="C25" s="65"/>
    </row>
    <row r="26" spans="1:3" ht="30" customHeight="1" x14ac:dyDescent="0.25">
      <c r="A26" s="53" t="s">
        <v>241</v>
      </c>
      <c r="B26" s="65" t="s">
        <v>393</v>
      </c>
      <c r="C26" s="65"/>
    </row>
    <row r="27" spans="1:3" ht="30" customHeight="1" x14ac:dyDescent="0.25">
      <c r="A27" s="54" t="s">
        <v>138</v>
      </c>
      <c r="B27" s="65" t="s">
        <v>394</v>
      </c>
      <c r="C27" s="65"/>
    </row>
  </sheetData>
  <mergeCells count="15">
    <mergeCell ref="A1:C1"/>
    <mergeCell ref="B11:C11"/>
    <mergeCell ref="B12:C12"/>
    <mergeCell ref="B13:C13"/>
    <mergeCell ref="B14:C14"/>
    <mergeCell ref="B15:C15"/>
    <mergeCell ref="B16:C16"/>
    <mergeCell ref="B17:C17"/>
    <mergeCell ref="B21:C21"/>
    <mergeCell ref="B22:C22"/>
    <mergeCell ref="B23:C23"/>
    <mergeCell ref="B24:C24"/>
    <mergeCell ref="B25:C25"/>
    <mergeCell ref="B26:C26"/>
    <mergeCell ref="B27:C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showGridLines="0" zoomScaleNormal="100" workbookViewId="0">
      <pane ySplit="4" topLeftCell="A5" activePane="bottomLeft" state="frozen"/>
      <selection pane="bottomLeft" activeCell="E5" sqref="E5"/>
    </sheetView>
  </sheetViews>
  <sheetFormatPr defaultColWidth="8.5703125" defaultRowHeight="15" x14ac:dyDescent="0.25"/>
  <cols>
    <col min="1" max="1" width="20" customWidth="1"/>
    <col min="2" max="2" width="26" customWidth="1"/>
    <col min="3" max="3" width="16" customWidth="1"/>
    <col min="4" max="4" width="6" customWidth="1"/>
    <col min="5" max="5" width="15" customWidth="1"/>
    <col min="6" max="6" width="38" customWidth="1"/>
    <col min="7" max="7" width="44" customWidth="1"/>
  </cols>
  <sheetData>
    <row r="1" spans="1:7" ht="18" x14ac:dyDescent="0.25">
      <c r="A1" s="58" t="s">
        <v>395</v>
      </c>
      <c r="B1" s="58"/>
      <c r="C1" s="58"/>
      <c r="D1" s="58"/>
      <c r="E1" s="58"/>
      <c r="F1" s="58"/>
      <c r="G1" s="58"/>
    </row>
    <row r="2" spans="1:7" ht="25.5" customHeight="1" x14ac:dyDescent="0.25">
      <c r="A2" s="59" t="s">
        <v>7</v>
      </c>
      <c r="B2" s="59"/>
      <c r="C2" s="59"/>
      <c r="D2" s="59"/>
      <c r="E2" s="59"/>
      <c r="F2" s="59"/>
      <c r="G2" s="59"/>
    </row>
    <row r="4" spans="1:7" ht="27.75" customHeight="1" x14ac:dyDescent="0.25">
      <c r="A4" s="3" t="s">
        <v>396</v>
      </c>
      <c r="B4" s="3" t="s">
        <v>39</v>
      </c>
      <c r="C4" s="3" t="s">
        <v>40</v>
      </c>
      <c r="D4" s="3" t="s">
        <v>41</v>
      </c>
      <c r="E4" s="3" t="s">
        <v>45</v>
      </c>
      <c r="F4" s="3" t="s">
        <v>397</v>
      </c>
      <c r="G4" s="3" t="s">
        <v>398</v>
      </c>
    </row>
    <row r="5" spans="1:7" ht="36" customHeight="1" x14ac:dyDescent="0.25">
      <c r="A5" s="55" t="s">
        <v>24</v>
      </c>
      <c r="B5" s="1" t="s">
        <v>49</v>
      </c>
      <c r="C5" s="12" t="s">
        <v>50</v>
      </c>
      <c r="D5" s="13" t="s">
        <v>51</v>
      </c>
      <c r="E5" s="14" t="s">
        <v>55</v>
      </c>
      <c r="F5" s="1" t="s">
        <v>53</v>
      </c>
      <c r="G5" s="1" t="s">
        <v>54</v>
      </c>
    </row>
    <row r="6" spans="1:7" ht="36" customHeight="1" x14ac:dyDescent="0.25">
      <c r="A6" s="1" t="s">
        <v>24</v>
      </c>
      <c r="B6" s="1" t="s">
        <v>58</v>
      </c>
      <c r="C6" s="12" t="s">
        <v>50</v>
      </c>
      <c r="D6" s="13" t="s">
        <v>51</v>
      </c>
      <c r="E6" s="14" t="s">
        <v>62</v>
      </c>
      <c r="F6" s="1" t="s">
        <v>60</v>
      </c>
      <c r="G6" s="1" t="s">
        <v>61</v>
      </c>
    </row>
    <row r="7" spans="1:7" ht="49.5" customHeight="1" x14ac:dyDescent="0.25">
      <c r="A7" s="1" t="s">
        <v>24</v>
      </c>
      <c r="B7" s="1" t="s">
        <v>65</v>
      </c>
      <c r="C7" s="15" t="s">
        <v>66</v>
      </c>
      <c r="D7" s="13" t="s">
        <v>51</v>
      </c>
      <c r="E7" s="16" t="s">
        <v>70</v>
      </c>
      <c r="F7" s="1" t="s">
        <v>68</v>
      </c>
      <c r="G7" s="1" t="s">
        <v>69</v>
      </c>
    </row>
    <row r="8" spans="1:7" ht="36" customHeight="1" x14ac:dyDescent="0.25">
      <c r="A8" s="1" t="s">
        <v>24</v>
      </c>
      <c r="B8" s="1" t="s">
        <v>72</v>
      </c>
      <c r="C8" s="17" t="s">
        <v>73</v>
      </c>
      <c r="D8" s="18" t="s">
        <v>74</v>
      </c>
      <c r="E8" s="14" t="s">
        <v>78</v>
      </c>
      <c r="F8" s="1" t="s">
        <v>76</v>
      </c>
      <c r="G8" s="1" t="s">
        <v>77</v>
      </c>
    </row>
    <row r="9" spans="1:7" ht="49.5" customHeight="1" x14ac:dyDescent="0.25">
      <c r="A9" s="1" t="s">
        <v>24</v>
      </c>
      <c r="B9" s="1" t="s">
        <v>81</v>
      </c>
      <c r="C9" s="12" t="s">
        <v>50</v>
      </c>
      <c r="D9" s="18" t="s">
        <v>74</v>
      </c>
      <c r="E9" s="14" t="s">
        <v>85</v>
      </c>
      <c r="F9" s="1" t="s">
        <v>83</v>
      </c>
      <c r="G9" s="1" t="s">
        <v>84</v>
      </c>
    </row>
    <row r="10" spans="1:7" ht="36" customHeight="1" x14ac:dyDescent="0.25">
      <c r="A10" s="1" t="s">
        <v>24</v>
      </c>
      <c r="B10" s="1" t="s">
        <v>88</v>
      </c>
      <c r="C10" s="17" t="s">
        <v>73</v>
      </c>
      <c r="D10" s="18" t="s">
        <v>74</v>
      </c>
      <c r="E10" s="16" t="s">
        <v>70</v>
      </c>
      <c r="F10" s="1" t="s">
        <v>90</v>
      </c>
      <c r="G10" s="1" t="s">
        <v>91</v>
      </c>
    </row>
    <row r="11" spans="1:7" ht="36" customHeight="1" x14ac:dyDescent="0.25">
      <c r="A11" s="1" t="s">
        <v>24</v>
      </c>
      <c r="B11" s="1" t="s">
        <v>94</v>
      </c>
      <c r="C11" s="15" t="s">
        <v>66</v>
      </c>
      <c r="D11" s="18" t="s">
        <v>74</v>
      </c>
      <c r="E11" s="16" t="s">
        <v>70</v>
      </c>
      <c r="F11" s="1" t="s">
        <v>96</v>
      </c>
      <c r="G11" s="1" t="s">
        <v>97</v>
      </c>
    </row>
    <row r="12" spans="1:7" ht="36" customHeight="1" x14ac:dyDescent="0.25">
      <c r="A12" s="1" t="s">
        <v>24</v>
      </c>
      <c r="B12" s="1" t="s">
        <v>100</v>
      </c>
      <c r="C12" s="15" t="s">
        <v>66</v>
      </c>
      <c r="D12" s="19" t="s">
        <v>101</v>
      </c>
      <c r="E12" s="16" t="s">
        <v>70</v>
      </c>
      <c r="F12" s="1" t="s">
        <v>103</v>
      </c>
      <c r="G12" s="1" t="s">
        <v>104</v>
      </c>
    </row>
    <row r="13" spans="1:7" ht="36" customHeight="1" x14ac:dyDescent="0.25">
      <c r="A13" s="1" t="s">
        <v>24</v>
      </c>
      <c r="B13" s="1" t="s">
        <v>107</v>
      </c>
      <c r="C13" s="15" t="s">
        <v>66</v>
      </c>
      <c r="D13" s="19" t="s">
        <v>101</v>
      </c>
      <c r="E13" s="16" t="s">
        <v>70</v>
      </c>
      <c r="F13" s="1" t="s">
        <v>109</v>
      </c>
      <c r="G13" s="1" t="s">
        <v>110</v>
      </c>
    </row>
    <row r="14" spans="1:7" ht="36" customHeight="1" x14ac:dyDescent="0.25">
      <c r="A14" s="56" t="s">
        <v>26</v>
      </c>
      <c r="B14" s="57" t="s">
        <v>114</v>
      </c>
      <c r="C14" s="22" t="s">
        <v>73</v>
      </c>
      <c r="D14" s="23" t="s">
        <v>74</v>
      </c>
      <c r="E14" s="24" t="s">
        <v>66</v>
      </c>
      <c r="F14" s="57" t="s">
        <v>116</v>
      </c>
      <c r="G14" s="57" t="s">
        <v>117</v>
      </c>
    </row>
    <row r="15" spans="1:7" ht="36" customHeight="1" x14ac:dyDescent="0.25">
      <c r="A15" s="1" t="s">
        <v>26</v>
      </c>
      <c r="B15" s="1" t="s">
        <v>120</v>
      </c>
      <c r="C15" s="25" t="s">
        <v>121</v>
      </c>
      <c r="D15" s="13" t="s">
        <v>51</v>
      </c>
      <c r="E15" s="16" t="s">
        <v>70</v>
      </c>
      <c r="F15" s="1" t="s">
        <v>123</v>
      </c>
      <c r="G15" s="1" t="s">
        <v>124</v>
      </c>
    </row>
    <row r="16" spans="1:7" ht="36" customHeight="1" x14ac:dyDescent="0.25">
      <c r="A16" s="1" t="s">
        <v>26</v>
      </c>
      <c r="B16" s="1" t="s">
        <v>126</v>
      </c>
      <c r="C16" s="12" t="s">
        <v>50</v>
      </c>
      <c r="D16" s="18" t="s">
        <v>74</v>
      </c>
      <c r="E16" s="16" t="s">
        <v>70</v>
      </c>
      <c r="F16" s="1" t="s">
        <v>128</v>
      </c>
      <c r="G16" s="1" t="s">
        <v>129</v>
      </c>
    </row>
    <row r="17" spans="1:7" ht="36" customHeight="1" x14ac:dyDescent="0.25">
      <c r="A17" s="1" t="s">
        <v>26</v>
      </c>
      <c r="B17" s="1" t="s">
        <v>132</v>
      </c>
      <c r="C17" s="17" t="s">
        <v>73</v>
      </c>
      <c r="D17" s="18" t="s">
        <v>74</v>
      </c>
      <c r="E17" s="16" t="s">
        <v>70</v>
      </c>
      <c r="F17" s="1" t="s">
        <v>134</v>
      </c>
      <c r="G17" s="1" t="s">
        <v>135</v>
      </c>
    </row>
    <row r="18" spans="1:7" ht="36" customHeight="1" x14ac:dyDescent="0.25">
      <c r="A18" s="1" t="s">
        <v>26</v>
      </c>
      <c r="B18" s="1" t="s">
        <v>137</v>
      </c>
      <c r="C18" s="26" t="s">
        <v>138</v>
      </c>
      <c r="D18" s="13" t="s">
        <v>51</v>
      </c>
      <c r="E18" s="16" t="s">
        <v>70</v>
      </c>
      <c r="F18" s="1" t="s">
        <v>140</v>
      </c>
      <c r="G18" s="1" t="s">
        <v>141</v>
      </c>
    </row>
    <row r="19" spans="1:7" ht="36" customHeight="1" x14ac:dyDescent="0.25">
      <c r="A19" s="1" t="s">
        <v>26</v>
      </c>
      <c r="B19" s="1" t="s">
        <v>144</v>
      </c>
      <c r="C19" s="12" t="s">
        <v>50</v>
      </c>
      <c r="D19" s="19" t="s">
        <v>101</v>
      </c>
      <c r="E19" s="16" t="s">
        <v>70</v>
      </c>
      <c r="F19" s="1" t="s">
        <v>146</v>
      </c>
      <c r="G19" s="1" t="s">
        <v>147</v>
      </c>
    </row>
    <row r="20" spans="1:7" ht="36" customHeight="1" x14ac:dyDescent="0.25">
      <c r="A20" s="56" t="s">
        <v>27</v>
      </c>
      <c r="B20" s="57" t="s">
        <v>150</v>
      </c>
      <c r="C20" s="22" t="s">
        <v>73</v>
      </c>
      <c r="D20" s="23" t="s">
        <v>74</v>
      </c>
      <c r="E20" s="24" t="s">
        <v>66</v>
      </c>
      <c r="F20" s="57" t="s">
        <v>152</v>
      </c>
      <c r="G20" s="57" t="s">
        <v>153</v>
      </c>
    </row>
    <row r="21" spans="1:7" ht="36" customHeight="1" x14ac:dyDescent="0.25">
      <c r="A21" s="1" t="s">
        <v>27</v>
      </c>
      <c r="B21" s="1" t="s">
        <v>155</v>
      </c>
      <c r="C21" s="25" t="s">
        <v>121</v>
      </c>
      <c r="D21" s="18" t="s">
        <v>74</v>
      </c>
      <c r="E21" s="16" t="s">
        <v>70</v>
      </c>
      <c r="F21" s="1" t="s">
        <v>157</v>
      </c>
      <c r="G21" s="1" t="s">
        <v>158</v>
      </c>
    </row>
    <row r="22" spans="1:7" ht="36" customHeight="1" x14ac:dyDescent="0.25">
      <c r="A22" s="1" t="s">
        <v>27</v>
      </c>
      <c r="B22" s="1" t="s">
        <v>161</v>
      </c>
      <c r="C22" s="25" t="s">
        <v>121</v>
      </c>
      <c r="D22" s="18" t="s">
        <v>74</v>
      </c>
      <c r="E22" s="16" t="s">
        <v>70</v>
      </c>
      <c r="F22" s="1" t="s">
        <v>163</v>
      </c>
      <c r="G22" s="1" t="s">
        <v>164</v>
      </c>
    </row>
    <row r="23" spans="1:7" ht="36" customHeight="1" x14ac:dyDescent="0.25">
      <c r="A23" s="1" t="s">
        <v>27</v>
      </c>
      <c r="B23" s="1" t="s">
        <v>166</v>
      </c>
      <c r="C23" s="25" t="s">
        <v>121</v>
      </c>
      <c r="D23" s="27" t="s">
        <v>167</v>
      </c>
      <c r="E23" s="16" t="s">
        <v>70</v>
      </c>
      <c r="F23" s="1" t="s">
        <v>169</v>
      </c>
      <c r="G23" s="1" t="s">
        <v>170</v>
      </c>
    </row>
    <row r="24" spans="1:7" ht="36" customHeight="1" x14ac:dyDescent="0.25">
      <c r="A24" s="1" t="s">
        <v>27</v>
      </c>
      <c r="B24" s="1" t="s">
        <v>173</v>
      </c>
      <c r="C24" s="25" t="s">
        <v>121</v>
      </c>
      <c r="D24" s="27" t="s">
        <v>167</v>
      </c>
      <c r="E24" s="16" t="s">
        <v>70</v>
      </c>
      <c r="F24" s="1" t="s">
        <v>175</v>
      </c>
      <c r="G24" s="1" t="s">
        <v>176</v>
      </c>
    </row>
    <row r="25" spans="1:7" ht="36" customHeight="1" x14ac:dyDescent="0.25">
      <c r="A25" s="1" t="s">
        <v>27</v>
      </c>
      <c r="B25" s="1" t="s">
        <v>179</v>
      </c>
      <c r="C25" s="25" t="s">
        <v>121</v>
      </c>
      <c r="D25" s="27" t="s">
        <v>167</v>
      </c>
      <c r="E25" s="16" t="s">
        <v>70</v>
      </c>
      <c r="F25" s="1" t="s">
        <v>181</v>
      </c>
      <c r="G25" s="1" t="s">
        <v>182</v>
      </c>
    </row>
    <row r="26" spans="1:7" ht="36" customHeight="1" x14ac:dyDescent="0.25">
      <c r="A26" s="1" t="s">
        <v>27</v>
      </c>
      <c r="B26" s="1" t="s">
        <v>185</v>
      </c>
      <c r="C26" s="17" t="s">
        <v>73</v>
      </c>
      <c r="D26" s="19" t="s">
        <v>101</v>
      </c>
      <c r="E26" s="16" t="s">
        <v>70</v>
      </c>
      <c r="F26" s="1" t="s">
        <v>187</v>
      </c>
      <c r="G26" s="1" t="s">
        <v>188</v>
      </c>
    </row>
    <row r="27" spans="1:7" ht="36" customHeight="1" x14ac:dyDescent="0.25">
      <c r="A27" s="56" t="s">
        <v>28</v>
      </c>
      <c r="B27" s="57" t="s">
        <v>191</v>
      </c>
      <c r="C27" s="22" t="s">
        <v>73</v>
      </c>
      <c r="D27" s="23" t="s">
        <v>74</v>
      </c>
      <c r="E27" s="28" t="s">
        <v>70</v>
      </c>
      <c r="F27" s="57" t="s">
        <v>193</v>
      </c>
      <c r="G27" s="57" t="s">
        <v>194</v>
      </c>
    </row>
    <row r="28" spans="1:7" ht="36" customHeight="1" x14ac:dyDescent="0.25">
      <c r="A28" s="1" t="s">
        <v>28</v>
      </c>
      <c r="B28" s="1" t="s">
        <v>196</v>
      </c>
      <c r="C28" s="17" t="s">
        <v>73</v>
      </c>
      <c r="D28" s="18" t="s">
        <v>74</v>
      </c>
      <c r="E28" s="16" t="s">
        <v>70</v>
      </c>
      <c r="F28" s="1" t="s">
        <v>198</v>
      </c>
      <c r="G28" s="1" t="s">
        <v>199</v>
      </c>
    </row>
    <row r="29" spans="1:7" ht="36" customHeight="1" x14ac:dyDescent="0.25">
      <c r="A29" s="1" t="s">
        <v>28</v>
      </c>
      <c r="B29" s="1" t="s">
        <v>201</v>
      </c>
      <c r="C29" s="17" t="s">
        <v>73</v>
      </c>
      <c r="D29" s="19" t="s">
        <v>101</v>
      </c>
      <c r="E29" s="14" t="s">
        <v>205</v>
      </c>
      <c r="F29" s="1" t="s">
        <v>203</v>
      </c>
      <c r="G29" s="1" t="s">
        <v>204</v>
      </c>
    </row>
    <row r="30" spans="1:7" ht="36" customHeight="1" x14ac:dyDescent="0.25">
      <c r="A30" s="1" t="s">
        <v>28</v>
      </c>
      <c r="B30" s="1" t="s">
        <v>207</v>
      </c>
      <c r="C30" s="17" t="s">
        <v>73</v>
      </c>
      <c r="D30" s="18" t="s">
        <v>74</v>
      </c>
      <c r="E30" s="14" t="s">
        <v>211</v>
      </c>
      <c r="F30" s="1" t="s">
        <v>209</v>
      </c>
      <c r="G30" s="1" t="s">
        <v>210</v>
      </c>
    </row>
  </sheetData>
  <autoFilter ref="A4:G30" xr:uid="{00000000-0009-0000-0000-000004000000}"/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showGridLines="0" tabSelected="1" zoomScaleNormal="100" workbookViewId="0">
      <pane ySplit="4" topLeftCell="A5" activePane="bottomLeft" state="frozen"/>
      <selection pane="bottomLeft" sqref="A1:G1"/>
    </sheetView>
  </sheetViews>
  <sheetFormatPr defaultColWidth="8.5703125" defaultRowHeight="15" x14ac:dyDescent="0.25"/>
  <cols>
    <col min="1" max="1" width="20" customWidth="1"/>
    <col min="2" max="2" width="26" customWidth="1"/>
    <col min="3" max="3" width="16" customWidth="1"/>
    <col min="4" max="4" width="6" customWidth="1"/>
    <col min="5" max="5" width="15" customWidth="1"/>
    <col min="6" max="6" width="38" customWidth="1"/>
    <col min="7" max="7" width="44" customWidth="1"/>
  </cols>
  <sheetData>
    <row r="1" spans="1:7" ht="18" x14ac:dyDescent="0.25">
      <c r="A1" s="58" t="s">
        <v>399</v>
      </c>
      <c r="B1" s="58"/>
      <c r="C1" s="58"/>
      <c r="D1" s="58"/>
      <c r="E1" s="58"/>
      <c r="F1" s="58"/>
      <c r="G1" s="58"/>
    </row>
    <row r="2" spans="1:7" ht="25.5" customHeight="1" x14ac:dyDescent="0.25">
      <c r="A2" s="59" t="s">
        <v>10</v>
      </c>
      <c r="B2" s="59"/>
      <c r="C2" s="59"/>
      <c r="D2" s="59"/>
      <c r="E2" s="59"/>
      <c r="F2" s="59"/>
      <c r="G2" s="59"/>
    </row>
    <row r="4" spans="1:7" ht="27.75" customHeight="1" x14ac:dyDescent="0.25">
      <c r="A4" s="3" t="s">
        <v>396</v>
      </c>
      <c r="B4" s="3" t="s">
        <v>39</v>
      </c>
      <c r="C4" s="3" t="s">
        <v>40</v>
      </c>
      <c r="D4" s="3" t="s">
        <v>41</v>
      </c>
      <c r="E4" s="3" t="s">
        <v>45</v>
      </c>
      <c r="F4" s="3" t="s">
        <v>397</v>
      </c>
      <c r="G4" s="3" t="s">
        <v>398</v>
      </c>
    </row>
    <row r="5" spans="1:7" ht="36" customHeight="1" x14ac:dyDescent="0.25">
      <c r="A5" s="55" t="s">
        <v>24</v>
      </c>
      <c r="B5" s="1" t="s">
        <v>49</v>
      </c>
      <c r="C5" s="12" t="s">
        <v>50</v>
      </c>
      <c r="D5" s="13" t="s">
        <v>51</v>
      </c>
      <c r="E5" s="14" t="s">
        <v>55</v>
      </c>
      <c r="F5" s="1" t="s">
        <v>53</v>
      </c>
      <c r="G5" s="1" t="s">
        <v>54</v>
      </c>
    </row>
    <row r="6" spans="1:7" ht="36" customHeight="1" x14ac:dyDescent="0.25">
      <c r="A6" s="1" t="s">
        <v>24</v>
      </c>
      <c r="B6" s="1" t="s">
        <v>58</v>
      </c>
      <c r="C6" s="12" t="s">
        <v>50</v>
      </c>
      <c r="D6" s="13" t="s">
        <v>51</v>
      </c>
      <c r="E6" s="14" t="s">
        <v>62</v>
      </c>
      <c r="F6" s="1" t="s">
        <v>60</v>
      </c>
      <c r="G6" s="1" t="s">
        <v>61</v>
      </c>
    </row>
    <row r="7" spans="1:7" ht="49.5" customHeight="1" x14ac:dyDescent="0.25">
      <c r="A7" s="1" t="s">
        <v>24</v>
      </c>
      <c r="B7" s="1" t="s">
        <v>65</v>
      </c>
      <c r="C7" s="15" t="s">
        <v>66</v>
      </c>
      <c r="D7" s="13" t="s">
        <v>51</v>
      </c>
      <c r="E7" s="16" t="s">
        <v>70</v>
      </c>
      <c r="F7" s="1" t="s">
        <v>68</v>
      </c>
      <c r="G7" s="1" t="s">
        <v>69</v>
      </c>
    </row>
    <row r="8" spans="1:7" ht="36" customHeight="1" x14ac:dyDescent="0.25">
      <c r="A8" s="1" t="s">
        <v>24</v>
      </c>
      <c r="B8" s="1" t="s">
        <v>72</v>
      </c>
      <c r="C8" s="17" t="s">
        <v>73</v>
      </c>
      <c r="D8" s="18" t="s">
        <v>74</v>
      </c>
      <c r="E8" s="14" t="s">
        <v>78</v>
      </c>
      <c r="F8" s="1" t="s">
        <v>76</v>
      </c>
      <c r="G8" s="1" t="s">
        <v>77</v>
      </c>
    </row>
    <row r="9" spans="1:7" ht="49.5" customHeight="1" x14ac:dyDescent="0.25">
      <c r="A9" s="1" t="s">
        <v>24</v>
      </c>
      <c r="B9" s="1" t="s">
        <v>81</v>
      </c>
      <c r="C9" s="12" t="s">
        <v>50</v>
      </c>
      <c r="D9" s="18" t="s">
        <v>74</v>
      </c>
      <c r="E9" s="14" t="s">
        <v>85</v>
      </c>
      <c r="F9" s="1" t="s">
        <v>83</v>
      </c>
      <c r="G9" s="1" t="s">
        <v>84</v>
      </c>
    </row>
    <row r="10" spans="1:7" ht="36" customHeight="1" x14ac:dyDescent="0.25">
      <c r="A10" s="1" t="s">
        <v>24</v>
      </c>
      <c r="B10" s="1" t="s">
        <v>88</v>
      </c>
      <c r="C10" s="17" t="s">
        <v>73</v>
      </c>
      <c r="D10" s="18" t="s">
        <v>74</v>
      </c>
      <c r="E10" s="16" t="s">
        <v>70</v>
      </c>
      <c r="F10" s="1" t="s">
        <v>90</v>
      </c>
      <c r="G10" s="1" t="s">
        <v>91</v>
      </c>
    </row>
    <row r="11" spans="1:7" ht="36" customHeight="1" x14ac:dyDescent="0.25">
      <c r="A11" s="1" t="s">
        <v>24</v>
      </c>
      <c r="B11" s="1" t="s">
        <v>94</v>
      </c>
      <c r="C11" s="15" t="s">
        <v>66</v>
      </c>
      <c r="D11" s="18" t="s">
        <v>74</v>
      </c>
      <c r="E11" s="16" t="s">
        <v>70</v>
      </c>
      <c r="F11" s="1" t="s">
        <v>96</v>
      </c>
      <c r="G11" s="1" t="s">
        <v>97</v>
      </c>
    </row>
    <row r="12" spans="1:7" ht="36" customHeight="1" x14ac:dyDescent="0.25">
      <c r="A12" s="1" t="s">
        <v>24</v>
      </c>
      <c r="B12" s="1" t="s">
        <v>100</v>
      </c>
      <c r="C12" s="15" t="s">
        <v>66</v>
      </c>
      <c r="D12" s="19" t="s">
        <v>101</v>
      </c>
      <c r="E12" s="16" t="s">
        <v>70</v>
      </c>
      <c r="F12" s="1" t="s">
        <v>103</v>
      </c>
      <c r="G12" s="1" t="s">
        <v>104</v>
      </c>
    </row>
    <row r="13" spans="1:7" ht="36" customHeight="1" x14ac:dyDescent="0.25">
      <c r="A13" s="1" t="s">
        <v>24</v>
      </c>
      <c r="B13" s="1" t="s">
        <v>107</v>
      </c>
      <c r="C13" s="15" t="s">
        <v>66</v>
      </c>
      <c r="D13" s="19" t="s">
        <v>101</v>
      </c>
      <c r="E13" s="16" t="s">
        <v>70</v>
      </c>
      <c r="F13" s="1" t="s">
        <v>109</v>
      </c>
      <c r="G13" s="1" t="s">
        <v>110</v>
      </c>
    </row>
    <row r="14" spans="1:7" ht="36" customHeight="1" x14ac:dyDescent="0.25">
      <c r="A14" s="56" t="s">
        <v>28</v>
      </c>
      <c r="B14" s="57" t="s">
        <v>191</v>
      </c>
      <c r="C14" s="22" t="s">
        <v>73</v>
      </c>
      <c r="D14" s="23" t="s">
        <v>74</v>
      </c>
      <c r="E14" s="28" t="s">
        <v>70</v>
      </c>
      <c r="F14" s="57" t="s">
        <v>193</v>
      </c>
      <c r="G14" s="57" t="s">
        <v>194</v>
      </c>
    </row>
    <row r="15" spans="1:7" ht="36" customHeight="1" x14ac:dyDescent="0.25">
      <c r="A15" s="1" t="s">
        <v>28</v>
      </c>
      <c r="B15" s="1" t="s">
        <v>196</v>
      </c>
      <c r="C15" s="17" t="s">
        <v>73</v>
      </c>
      <c r="D15" s="18" t="s">
        <v>74</v>
      </c>
      <c r="E15" s="16" t="s">
        <v>70</v>
      </c>
      <c r="F15" s="1" t="s">
        <v>198</v>
      </c>
      <c r="G15" s="1" t="s">
        <v>199</v>
      </c>
    </row>
    <row r="16" spans="1:7" ht="36" customHeight="1" x14ac:dyDescent="0.25">
      <c r="A16" s="1" t="s">
        <v>28</v>
      </c>
      <c r="B16" s="1" t="s">
        <v>201</v>
      </c>
      <c r="C16" s="17" t="s">
        <v>73</v>
      </c>
      <c r="D16" s="19" t="s">
        <v>101</v>
      </c>
      <c r="E16" s="14" t="s">
        <v>205</v>
      </c>
      <c r="F16" s="1" t="s">
        <v>203</v>
      </c>
      <c r="G16" s="1" t="s">
        <v>204</v>
      </c>
    </row>
    <row r="17" spans="1:7" ht="36" customHeight="1" x14ac:dyDescent="0.25">
      <c r="A17" s="1" t="s">
        <v>28</v>
      </c>
      <c r="B17" s="1" t="s">
        <v>207</v>
      </c>
      <c r="C17" s="17" t="s">
        <v>73</v>
      </c>
      <c r="D17" s="18" t="s">
        <v>74</v>
      </c>
      <c r="E17" s="14" t="s">
        <v>211</v>
      </c>
      <c r="F17" s="1" t="s">
        <v>209</v>
      </c>
      <c r="G17" s="1" t="s">
        <v>210</v>
      </c>
    </row>
    <row r="18" spans="1:7" ht="36" customHeight="1" x14ac:dyDescent="0.25">
      <c r="A18" s="56" t="s">
        <v>31</v>
      </c>
      <c r="B18" s="57" t="s">
        <v>240</v>
      </c>
      <c r="C18" s="30" t="s">
        <v>241</v>
      </c>
      <c r="D18" s="31" t="s">
        <v>51</v>
      </c>
      <c r="E18" s="24" t="s">
        <v>55</v>
      </c>
      <c r="F18" s="57" t="s">
        <v>243</v>
      </c>
      <c r="G18" s="57" t="s">
        <v>244</v>
      </c>
    </row>
    <row r="19" spans="1:7" ht="36" customHeight="1" x14ac:dyDescent="0.25">
      <c r="A19" s="1" t="s">
        <v>31</v>
      </c>
      <c r="B19" s="1" t="s">
        <v>246</v>
      </c>
      <c r="C19" s="32" t="s">
        <v>241</v>
      </c>
      <c r="D19" s="13" t="s">
        <v>51</v>
      </c>
      <c r="E19" s="14" t="s">
        <v>250</v>
      </c>
      <c r="F19" s="1" t="s">
        <v>248</v>
      </c>
      <c r="G19" s="1" t="s">
        <v>249</v>
      </c>
    </row>
    <row r="20" spans="1:7" ht="36" customHeight="1" x14ac:dyDescent="0.25">
      <c r="A20" s="1" t="s">
        <v>31</v>
      </c>
      <c r="B20" s="1" t="s">
        <v>253</v>
      </c>
      <c r="C20" s="26" t="s">
        <v>138</v>
      </c>
      <c r="D20" s="13" t="s">
        <v>51</v>
      </c>
      <c r="E20" s="14" t="s">
        <v>62</v>
      </c>
      <c r="F20" s="1" t="s">
        <v>255</v>
      </c>
      <c r="G20" s="1" t="s">
        <v>256</v>
      </c>
    </row>
    <row r="21" spans="1:7" ht="36" customHeight="1" x14ac:dyDescent="0.25">
      <c r="A21" s="1" t="s">
        <v>31</v>
      </c>
      <c r="B21" s="1" t="s">
        <v>137</v>
      </c>
      <c r="C21" s="26" t="s">
        <v>138</v>
      </c>
      <c r="D21" s="13" t="s">
        <v>51</v>
      </c>
      <c r="E21" s="16" t="s">
        <v>70</v>
      </c>
      <c r="F21" s="1" t="s">
        <v>140</v>
      </c>
      <c r="G21" s="1" t="s">
        <v>141</v>
      </c>
    </row>
    <row r="22" spans="1:7" ht="36" customHeight="1" x14ac:dyDescent="0.25">
      <c r="A22" s="1" t="s">
        <v>31</v>
      </c>
      <c r="B22" s="1" t="s">
        <v>258</v>
      </c>
      <c r="C22" s="26" t="s">
        <v>138</v>
      </c>
      <c r="D22" s="13" t="s">
        <v>51</v>
      </c>
      <c r="E22" s="14" t="s">
        <v>262</v>
      </c>
      <c r="F22" s="1" t="s">
        <v>260</v>
      </c>
      <c r="G22" s="1" t="s">
        <v>261</v>
      </c>
    </row>
    <row r="23" spans="1:7" ht="36" customHeight="1" x14ac:dyDescent="0.25">
      <c r="A23" s="1" t="s">
        <v>31</v>
      </c>
      <c r="B23" s="1" t="s">
        <v>265</v>
      </c>
      <c r="C23" s="26" t="s">
        <v>138</v>
      </c>
      <c r="D23" s="18" t="s">
        <v>74</v>
      </c>
      <c r="E23" s="14" t="s">
        <v>269</v>
      </c>
      <c r="F23" s="1" t="s">
        <v>267</v>
      </c>
      <c r="G23" s="1" t="s">
        <v>268</v>
      </c>
    </row>
    <row r="24" spans="1:7" ht="36" customHeight="1" x14ac:dyDescent="0.25">
      <c r="A24" s="1" t="s">
        <v>31</v>
      </c>
      <c r="B24" s="1" t="s">
        <v>272</v>
      </c>
      <c r="C24" s="29" t="s">
        <v>226</v>
      </c>
      <c r="D24" s="18" t="s">
        <v>74</v>
      </c>
      <c r="E24" s="16" t="s">
        <v>70</v>
      </c>
      <c r="F24" s="1" t="s">
        <v>274</v>
      </c>
      <c r="G24" s="1" t="s">
        <v>275</v>
      </c>
    </row>
    <row r="25" spans="1:7" ht="36" customHeight="1" x14ac:dyDescent="0.25">
      <c r="A25" s="1" t="s">
        <v>31</v>
      </c>
      <c r="B25" s="1" t="s">
        <v>277</v>
      </c>
      <c r="C25" s="29" t="s">
        <v>226</v>
      </c>
      <c r="D25" s="27" t="s">
        <v>167</v>
      </c>
      <c r="E25" s="16" t="s">
        <v>70</v>
      </c>
      <c r="F25" s="1" t="s">
        <v>279</v>
      </c>
      <c r="G25" s="1" t="s">
        <v>280</v>
      </c>
    </row>
    <row r="26" spans="1:7" ht="36" customHeight="1" x14ac:dyDescent="0.25">
      <c r="A26" s="1" t="s">
        <v>31</v>
      </c>
      <c r="B26" s="1" t="s">
        <v>282</v>
      </c>
      <c r="C26" s="29" t="s">
        <v>226</v>
      </c>
      <c r="D26" s="27" t="s">
        <v>167</v>
      </c>
      <c r="E26" s="16" t="s">
        <v>70</v>
      </c>
      <c r="F26" s="1" t="s">
        <v>284</v>
      </c>
      <c r="G26" s="1" t="s">
        <v>285</v>
      </c>
    </row>
    <row r="27" spans="1:7" ht="36" customHeight="1" x14ac:dyDescent="0.25">
      <c r="A27" s="1" t="s">
        <v>31</v>
      </c>
      <c r="B27" s="1" t="s">
        <v>287</v>
      </c>
      <c r="C27" s="29" t="s">
        <v>226</v>
      </c>
      <c r="D27" s="27" t="s">
        <v>167</v>
      </c>
      <c r="E27" s="14" t="s">
        <v>291</v>
      </c>
      <c r="F27" s="1" t="s">
        <v>289</v>
      </c>
      <c r="G27" s="1" t="s">
        <v>290</v>
      </c>
    </row>
    <row r="28" spans="1:7" ht="36" customHeight="1" x14ac:dyDescent="0.25">
      <c r="A28" s="1" t="s">
        <v>31</v>
      </c>
      <c r="B28" s="1" t="s">
        <v>294</v>
      </c>
      <c r="C28" s="26" t="s">
        <v>138</v>
      </c>
      <c r="D28" s="19" t="s">
        <v>101</v>
      </c>
      <c r="E28" s="16" t="s">
        <v>70</v>
      </c>
      <c r="F28" s="1" t="s">
        <v>296</v>
      </c>
      <c r="G28" s="1" t="s">
        <v>297</v>
      </c>
    </row>
    <row r="29" spans="1:7" ht="36" customHeight="1" x14ac:dyDescent="0.25">
      <c r="A29" s="1" t="s">
        <v>31</v>
      </c>
      <c r="B29" s="1" t="s">
        <v>300</v>
      </c>
      <c r="C29" s="32" t="s">
        <v>241</v>
      </c>
      <c r="D29" s="19" t="s">
        <v>101</v>
      </c>
      <c r="E29" s="16" t="s">
        <v>70</v>
      </c>
      <c r="F29" s="1" t="s">
        <v>302</v>
      </c>
      <c r="G29" s="1" t="s">
        <v>303</v>
      </c>
    </row>
  </sheetData>
  <autoFilter ref="A4:G29" xr:uid="{00000000-0009-0000-0000-000005000000}"/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showGridLines="0" zoomScaleNormal="100" workbookViewId="0">
      <pane ySplit="4" topLeftCell="A5" activePane="bottomLeft" state="frozen"/>
      <selection pane="bottomLeft" sqref="A1:G1"/>
    </sheetView>
  </sheetViews>
  <sheetFormatPr defaultColWidth="8.5703125" defaultRowHeight="15" x14ac:dyDescent="0.25"/>
  <cols>
    <col min="1" max="1" width="20" customWidth="1"/>
    <col min="2" max="2" width="26" customWidth="1"/>
    <col min="3" max="3" width="16" customWidth="1"/>
    <col min="4" max="4" width="6" customWidth="1"/>
    <col min="5" max="5" width="15" customWidth="1"/>
    <col min="6" max="6" width="38" customWidth="1"/>
    <col min="7" max="7" width="44" customWidth="1"/>
  </cols>
  <sheetData>
    <row r="1" spans="1:7" ht="18" x14ac:dyDescent="0.25">
      <c r="A1" s="58" t="s">
        <v>400</v>
      </c>
      <c r="B1" s="58"/>
      <c r="C1" s="58"/>
      <c r="D1" s="58"/>
      <c r="E1" s="58"/>
      <c r="F1" s="58"/>
      <c r="G1" s="58"/>
    </row>
    <row r="2" spans="1:7" ht="25.5" customHeight="1" x14ac:dyDescent="0.25">
      <c r="A2" s="59" t="s">
        <v>13</v>
      </c>
      <c r="B2" s="59"/>
      <c r="C2" s="59"/>
      <c r="D2" s="59"/>
      <c r="E2" s="59"/>
      <c r="F2" s="59"/>
      <c r="G2" s="59"/>
    </row>
    <row r="4" spans="1:7" ht="27.75" customHeight="1" x14ac:dyDescent="0.25">
      <c r="A4" s="3" t="s">
        <v>396</v>
      </c>
      <c r="B4" s="3" t="s">
        <v>39</v>
      </c>
      <c r="C4" s="3" t="s">
        <v>40</v>
      </c>
      <c r="D4" s="3" t="s">
        <v>41</v>
      </c>
      <c r="E4" s="3" t="s">
        <v>45</v>
      </c>
      <c r="F4" s="3" t="s">
        <v>397</v>
      </c>
      <c r="G4" s="3" t="s">
        <v>398</v>
      </c>
    </row>
    <row r="5" spans="1:7" ht="36" customHeight="1" x14ac:dyDescent="0.25">
      <c r="A5" s="55" t="s">
        <v>24</v>
      </c>
      <c r="B5" s="1" t="s">
        <v>49</v>
      </c>
      <c r="C5" s="12" t="s">
        <v>50</v>
      </c>
      <c r="D5" s="13" t="s">
        <v>51</v>
      </c>
      <c r="E5" s="14" t="s">
        <v>55</v>
      </c>
      <c r="F5" s="1" t="s">
        <v>53</v>
      </c>
      <c r="G5" s="1" t="s">
        <v>54</v>
      </c>
    </row>
    <row r="6" spans="1:7" ht="36" customHeight="1" x14ac:dyDescent="0.25">
      <c r="A6" s="1" t="s">
        <v>24</v>
      </c>
      <c r="B6" s="1" t="s">
        <v>58</v>
      </c>
      <c r="C6" s="12" t="s">
        <v>50</v>
      </c>
      <c r="D6" s="13" t="s">
        <v>51</v>
      </c>
      <c r="E6" s="14" t="s">
        <v>62</v>
      </c>
      <c r="F6" s="1" t="s">
        <v>60</v>
      </c>
      <c r="G6" s="1" t="s">
        <v>61</v>
      </c>
    </row>
    <row r="7" spans="1:7" ht="49.5" customHeight="1" x14ac:dyDescent="0.25">
      <c r="A7" s="1" t="s">
        <v>24</v>
      </c>
      <c r="B7" s="1" t="s">
        <v>65</v>
      </c>
      <c r="C7" s="15" t="s">
        <v>66</v>
      </c>
      <c r="D7" s="13" t="s">
        <v>51</v>
      </c>
      <c r="E7" s="16" t="s">
        <v>70</v>
      </c>
      <c r="F7" s="1" t="s">
        <v>68</v>
      </c>
      <c r="G7" s="1" t="s">
        <v>69</v>
      </c>
    </row>
    <row r="8" spans="1:7" ht="36" customHeight="1" x14ac:dyDescent="0.25">
      <c r="A8" s="1" t="s">
        <v>24</v>
      </c>
      <c r="B8" s="1" t="s">
        <v>72</v>
      </c>
      <c r="C8" s="17" t="s">
        <v>73</v>
      </c>
      <c r="D8" s="18" t="s">
        <v>74</v>
      </c>
      <c r="E8" s="14" t="s">
        <v>78</v>
      </c>
      <c r="F8" s="1" t="s">
        <v>76</v>
      </c>
      <c r="G8" s="1" t="s">
        <v>77</v>
      </c>
    </row>
    <row r="9" spans="1:7" ht="49.5" customHeight="1" x14ac:dyDescent="0.25">
      <c r="A9" s="1" t="s">
        <v>24</v>
      </c>
      <c r="B9" s="1" t="s">
        <v>81</v>
      </c>
      <c r="C9" s="12" t="s">
        <v>50</v>
      </c>
      <c r="D9" s="18" t="s">
        <v>74</v>
      </c>
      <c r="E9" s="14" t="s">
        <v>85</v>
      </c>
      <c r="F9" s="1" t="s">
        <v>83</v>
      </c>
      <c r="G9" s="1" t="s">
        <v>84</v>
      </c>
    </row>
    <row r="10" spans="1:7" ht="36" customHeight="1" x14ac:dyDescent="0.25">
      <c r="A10" s="1" t="s">
        <v>24</v>
      </c>
      <c r="B10" s="1" t="s">
        <v>88</v>
      </c>
      <c r="C10" s="17" t="s">
        <v>73</v>
      </c>
      <c r="D10" s="18" t="s">
        <v>74</v>
      </c>
      <c r="E10" s="16" t="s">
        <v>70</v>
      </c>
      <c r="F10" s="1" t="s">
        <v>90</v>
      </c>
      <c r="G10" s="1" t="s">
        <v>91</v>
      </c>
    </row>
    <row r="11" spans="1:7" ht="36" customHeight="1" x14ac:dyDescent="0.25">
      <c r="A11" s="1" t="s">
        <v>24</v>
      </c>
      <c r="B11" s="1" t="s">
        <v>94</v>
      </c>
      <c r="C11" s="15" t="s">
        <v>66</v>
      </c>
      <c r="D11" s="18" t="s">
        <v>74</v>
      </c>
      <c r="E11" s="16" t="s">
        <v>70</v>
      </c>
      <c r="F11" s="1" t="s">
        <v>96</v>
      </c>
      <c r="G11" s="1" t="s">
        <v>97</v>
      </c>
    </row>
    <row r="12" spans="1:7" ht="36" customHeight="1" x14ac:dyDescent="0.25">
      <c r="A12" s="1" t="s">
        <v>24</v>
      </c>
      <c r="B12" s="1" t="s">
        <v>100</v>
      </c>
      <c r="C12" s="15" t="s">
        <v>66</v>
      </c>
      <c r="D12" s="19" t="s">
        <v>101</v>
      </c>
      <c r="E12" s="16" t="s">
        <v>70</v>
      </c>
      <c r="F12" s="1" t="s">
        <v>103</v>
      </c>
      <c r="G12" s="1" t="s">
        <v>104</v>
      </c>
    </row>
    <row r="13" spans="1:7" ht="36" customHeight="1" x14ac:dyDescent="0.25">
      <c r="A13" s="1" t="s">
        <v>24</v>
      </c>
      <c r="B13" s="1" t="s">
        <v>107</v>
      </c>
      <c r="C13" s="15" t="s">
        <v>66</v>
      </c>
      <c r="D13" s="19" t="s">
        <v>101</v>
      </c>
      <c r="E13" s="16" t="s">
        <v>70</v>
      </c>
      <c r="F13" s="1" t="s">
        <v>109</v>
      </c>
      <c r="G13" s="1" t="s">
        <v>110</v>
      </c>
    </row>
    <row r="14" spans="1:7" ht="36" customHeight="1" x14ac:dyDescent="0.25">
      <c r="A14" s="56" t="s">
        <v>30</v>
      </c>
      <c r="B14" s="57" t="s">
        <v>215</v>
      </c>
      <c r="C14" s="22" t="s">
        <v>73</v>
      </c>
      <c r="D14" s="23" t="s">
        <v>74</v>
      </c>
      <c r="E14" s="24" t="s">
        <v>78</v>
      </c>
      <c r="F14" s="57" t="s">
        <v>217</v>
      </c>
      <c r="G14" s="57" t="s">
        <v>218</v>
      </c>
    </row>
    <row r="15" spans="1:7" ht="36" customHeight="1" x14ac:dyDescent="0.25">
      <c r="A15" s="1" t="s">
        <v>30</v>
      </c>
      <c r="B15" s="1" t="s">
        <v>220</v>
      </c>
      <c r="C15" s="12" t="s">
        <v>50</v>
      </c>
      <c r="D15" s="18" t="s">
        <v>74</v>
      </c>
      <c r="E15" s="14" t="s">
        <v>85</v>
      </c>
      <c r="F15" s="1" t="s">
        <v>222</v>
      </c>
      <c r="G15" s="1" t="s">
        <v>223</v>
      </c>
    </row>
    <row r="16" spans="1:7" ht="36" customHeight="1" x14ac:dyDescent="0.25">
      <c r="A16" s="1" t="s">
        <v>30</v>
      </c>
      <c r="B16" s="1" t="s">
        <v>225</v>
      </c>
      <c r="C16" s="29" t="s">
        <v>226</v>
      </c>
      <c r="D16" s="27" t="s">
        <v>167</v>
      </c>
      <c r="E16" s="16" t="s">
        <v>70</v>
      </c>
      <c r="F16" s="1" t="s">
        <v>228</v>
      </c>
      <c r="G16" s="1" t="s">
        <v>229</v>
      </c>
    </row>
    <row r="17" spans="1:7" ht="36" customHeight="1" x14ac:dyDescent="0.25">
      <c r="A17" s="1" t="s">
        <v>30</v>
      </c>
      <c r="B17" s="1" t="s">
        <v>137</v>
      </c>
      <c r="C17" s="26" t="s">
        <v>138</v>
      </c>
      <c r="D17" s="13" t="s">
        <v>51</v>
      </c>
      <c r="E17" s="16" t="s">
        <v>70</v>
      </c>
      <c r="F17" s="1" t="s">
        <v>140</v>
      </c>
      <c r="G17" s="1" t="s">
        <v>141</v>
      </c>
    </row>
    <row r="18" spans="1:7" ht="36" customHeight="1" x14ac:dyDescent="0.25">
      <c r="A18" s="1" t="s">
        <v>30</v>
      </c>
      <c r="B18" s="1" t="s">
        <v>234</v>
      </c>
      <c r="C18" s="29" t="s">
        <v>226</v>
      </c>
      <c r="D18" s="19" t="s">
        <v>101</v>
      </c>
      <c r="E18" s="16" t="s">
        <v>70</v>
      </c>
      <c r="F18" s="1" t="s">
        <v>236</v>
      </c>
      <c r="G18" s="1" t="s">
        <v>237</v>
      </c>
    </row>
    <row r="19" spans="1:7" ht="36" customHeight="1" x14ac:dyDescent="0.25">
      <c r="A19" s="56" t="s">
        <v>28</v>
      </c>
      <c r="B19" s="57" t="s">
        <v>191</v>
      </c>
      <c r="C19" s="22" t="s">
        <v>73</v>
      </c>
      <c r="D19" s="23" t="s">
        <v>74</v>
      </c>
      <c r="E19" s="28" t="s">
        <v>70</v>
      </c>
      <c r="F19" s="57" t="s">
        <v>193</v>
      </c>
      <c r="G19" s="57" t="s">
        <v>194</v>
      </c>
    </row>
    <row r="20" spans="1:7" ht="36" customHeight="1" x14ac:dyDescent="0.25">
      <c r="A20" s="1" t="s">
        <v>28</v>
      </c>
      <c r="B20" s="1" t="s">
        <v>196</v>
      </c>
      <c r="C20" s="17" t="s">
        <v>73</v>
      </c>
      <c r="D20" s="18" t="s">
        <v>74</v>
      </c>
      <c r="E20" s="16" t="s">
        <v>70</v>
      </c>
      <c r="F20" s="1" t="s">
        <v>198</v>
      </c>
      <c r="G20" s="1" t="s">
        <v>199</v>
      </c>
    </row>
    <row r="21" spans="1:7" ht="36" customHeight="1" x14ac:dyDescent="0.25">
      <c r="A21" s="1" t="s">
        <v>28</v>
      </c>
      <c r="B21" s="1" t="s">
        <v>201</v>
      </c>
      <c r="C21" s="17" t="s">
        <v>73</v>
      </c>
      <c r="D21" s="19" t="s">
        <v>101</v>
      </c>
      <c r="E21" s="14" t="s">
        <v>205</v>
      </c>
      <c r="F21" s="1" t="s">
        <v>203</v>
      </c>
      <c r="G21" s="1" t="s">
        <v>204</v>
      </c>
    </row>
    <row r="22" spans="1:7" ht="36" customHeight="1" x14ac:dyDescent="0.25">
      <c r="A22" s="1" t="s">
        <v>28</v>
      </c>
      <c r="B22" s="1" t="s">
        <v>207</v>
      </c>
      <c r="C22" s="17" t="s">
        <v>73</v>
      </c>
      <c r="D22" s="18" t="s">
        <v>74</v>
      </c>
      <c r="E22" s="14" t="s">
        <v>211</v>
      </c>
      <c r="F22" s="1" t="s">
        <v>209</v>
      </c>
      <c r="G22" s="1" t="s">
        <v>210</v>
      </c>
    </row>
  </sheetData>
  <autoFilter ref="A4:G22" xr:uid="{00000000-0009-0000-0000-000006000000}"/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showGridLines="0" zoomScaleNormal="100" workbookViewId="0">
      <pane ySplit="4" topLeftCell="A5" activePane="bottomLeft" state="frozen"/>
      <selection pane="bottomLeft" activeCell="G6" sqref="G6"/>
    </sheetView>
  </sheetViews>
  <sheetFormatPr defaultColWidth="8.5703125" defaultRowHeight="15" x14ac:dyDescent="0.25"/>
  <cols>
    <col min="1" max="1" width="20" customWidth="1"/>
    <col min="2" max="2" width="26" customWidth="1"/>
    <col min="3" max="3" width="16" customWidth="1"/>
    <col min="4" max="4" width="6" customWidth="1"/>
    <col min="5" max="5" width="15" customWidth="1"/>
    <col min="6" max="6" width="38" customWidth="1"/>
    <col min="7" max="7" width="44" customWidth="1"/>
  </cols>
  <sheetData>
    <row r="1" spans="1:7" ht="18" x14ac:dyDescent="0.25">
      <c r="A1" s="58" t="s">
        <v>401</v>
      </c>
      <c r="B1" s="58"/>
      <c r="C1" s="58"/>
      <c r="D1" s="58"/>
      <c r="E1" s="58"/>
      <c r="F1" s="58"/>
      <c r="G1" s="58"/>
    </row>
    <row r="2" spans="1:7" ht="25.5" customHeight="1" x14ac:dyDescent="0.25">
      <c r="A2" s="59" t="s">
        <v>16</v>
      </c>
      <c r="B2" s="59"/>
      <c r="C2" s="59"/>
      <c r="D2" s="59"/>
      <c r="E2" s="59"/>
      <c r="F2" s="59"/>
      <c r="G2" s="59"/>
    </row>
    <row r="4" spans="1:7" ht="27.75" customHeight="1" x14ac:dyDescent="0.25">
      <c r="A4" s="3" t="s">
        <v>396</v>
      </c>
      <c r="B4" s="3" t="s">
        <v>39</v>
      </c>
      <c r="C4" s="3" t="s">
        <v>40</v>
      </c>
      <c r="D4" s="3" t="s">
        <v>41</v>
      </c>
      <c r="E4" s="3" t="s">
        <v>45</v>
      </c>
      <c r="F4" s="3" t="s">
        <v>397</v>
      </c>
      <c r="G4" s="3" t="s">
        <v>398</v>
      </c>
    </row>
    <row r="5" spans="1:7" ht="36" customHeight="1" x14ac:dyDescent="0.25">
      <c r="A5" s="55" t="s">
        <v>24</v>
      </c>
      <c r="B5" s="1" t="s">
        <v>49</v>
      </c>
      <c r="C5" s="12" t="s">
        <v>50</v>
      </c>
      <c r="D5" s="13" t="s">
        <v>51</v>
      </c>
      <c r="E5" s="14" t="s">
        <v>55</v>
      </c>
      <c r="F5" s="1" t="s">
        <v>53</v>
      </c>
      <c r="G5" s="1" t="s">
        <v>54</v>
      </c>
    </row>
    <row r="6" spans="1:7" ht="36" customHeight="1" x14ac:dyDescent="0.25">
      <c r="A6" s="1" t="s">
        <v>24</v>
      </c>
      <c r="B6" s="1" t="s">
        <v>58</v>
      </c>
      <c r="C6" s="12" t="s">
        <v>50</v>
      </c>
      <c r="D6" s="13" t="s">
        <v>51</v>
      </c>
      <c r="E6" s="14" t="s">
        <v>62</v>
      </c>
      <c r="F6" s="1" t="s">
        <v>60</v>
      </c>
      <c r="G6" s="1" t="s">
        <v>61</v>
      </c>
    </row>
    <row r="7" spans="1:7" ht="49.5" customHeight="1" x14ac:dyDescent="0.25">
      <c r="A7" s="1" t="s">
        <v>24</v>
      </c>
      <c r="B7" s="1" t="s">
        <v>65</v>
      </c>
      <c r="C7" s="15" t="s">
        <v>66</v>
      </c>
      <c r="D7" s="13" t="s">
        <v>51</v>
      </c>
      <c r="E7" s="16" t="s">
        <v>70</v>
      </c>
      <c r="F7" s="1" t="s">
        <v>68</v>
      </c>
      <c r="G7" s="1" t="s">
        <v>69</v>
      </c>
    </row>
    <row r="8" spans="1:7" ht="36" customHeight="1" x14ac:dyDescent="0.25">
      <c r="A8" s="1" t="s">
        <v>24</v>
      </c>
      <c r="B8" s="1" t="s">
        <v>72</v>
      </c>
      <c r="C8" s="17" t="s">
        <v>73</v>
      </c>
      <c r="D8" s="18" t="s">
        <v>74</v>
      </c>
      <c r="E8" s="14" t="s">
        <v>78</v>
      </c>
      <c r="F8" s="1" t="s">
        <v>76</v>
      </c>
      <c r="G8" s="1" t="s">
        <v>77</v>
      </c>
    </row>
    <row r="9" spans="1:7" ht="49.5" customHeight="1" x14ac:dyDescent="0.25">
      <c r="A9" s="1" t="s">
        <v>24</v>
      </c>
      <c r="B9" s="1" t="s">
        <v>81</v>
      </c>
      <c r="C9" s="12" t="s">
        <v>50</v>
      </c>
      <c r="D9" s="18" t="s">
        <v>74</v>
      </c>
      <c r="E9" s="14" t="s">
        <v>85</v>
      </c>
      <c r="F9" s="1" t="s">
        <v>83</v>
      </c>
      <c r="G9" s="1" t="s">
        <v>84</v>
      </c>
    </row>
    <row r="10" spans="1:7" ht="36" customHeight="1" x14ac:dyDescent="0.25">
      <c r="A10" s="1" t="s">
        <v>24</v>
      </c>
      <c r="B10" s="1" t="s">
        <v>88</v>
      </c>
      <c r="C10" s="17" t="s">
        <v>73</v>
      </c>
      <c r="D10" s="18" t="s">
        <v>74</v>
      </c>
      <c r="E10" s="16" t="s">
        <v>70</v>
      </c>
      <c r="F10" s="1" t="s">
        <v>90</v>
      </c>
      <c r="G10" s="1" t="s">
        <v>91</v>
      </c>
    </row>
    <row r="11" spans="1:7" ht="36" customHeight="1" x14ac:dyDescent="0.25">
      <c r="A11" s="1" t="s">
        <v>24</v>
      </c>
      <c r="B11" s="1" t="s">
        <v>94</v>
      </c>
      <c r="C11" s="15" t="s">
        <v>66</v>
      </c>
      <c r="D11" s="18" t="s">
        <v>74</v>
      </c>
      <c r="E11" s="16" t="s">
        <v>70</v>
      </c>
      <c r="F11" s="1" t="s">
        <v>96</v>
      </c>
      <c r="G11" s="1" t="s">
        <v>97</v>
      </c>
    </row>
    <row r="12" spans="1:7" ht="36" customHeight="1" x14ac:dyDescent="0.25">
      <c r="A12" s="1" t="s">
        <v>24</v>
      </c>
      <c r="B12" s="1" t="s">
        <v>100</v>
      </c>
      <c r="C12" s="15" t="s">
        <v>66</v>
      </c>
      <c r="D12" s="19" t="s">
        <v>101</v>
      </c>
      <c r="E12" s="16" t="s">
        <v>70</v>
      </c>
      <c r="F12" s="1" t="s">
        <v>103</v>
      </c>
      <c r="G12" s="1" t="s">
        <v>104</v>
      </c>
    </row>
    <row r="13" spans="1:7" ht="36" customHeight="1" x14ac:dyDescent="0.25">
      <c r="A13" s="1" t="s">
        <v>24</v>
      </c>
      <c r="B13" s="1" t="s">
        <v>107</v>
      </c>
      <c r="C13" s="15" t="s">
        <v>66</v>
      </c>
      <c r="D13" s="19" t="s">
        <v>101</v>
      </c>
      <c r="E13" s="16" t="s">
        <v>70</v>
      </c>
      <c r="F13" s="1" t="s">
        <v>109</v>
      </c>
      <c r="G13" s="1" t="s">
        <v>110</v>
      </c>
    </row>
    <row r="14" spans="1:7" ht="36" customHeight="1" x14ac:dyDescent="0.25">
      <c r="A14" s="56" t="s">
        <v>31</v>
      </c>
      <c r="B14" s="57" t="s">
        <v>240</v>
      </c>
      <c r="C14" s="30" t="s">
        <v>241</v>
      </c>
      <c r="D14" s="31" t="s">
        <v>51</v>
      </c>
      <c r="E14" s="24" t="s">
        <v>55</v>
      </c>
      <c r="F14" s="57" t="s">
        <v>243</v>
      </c>
      <c r="G14" s="57" t="s">
        <v>244</v>
      </c>
    </row>
    <row r="15" spans="1:7" ht="36" customHeight="1" x14ac:dyDescent="0.25">
      <c r="A15" s="1" t="s">
        <v>31</v>
      </c>
      <c r="B15" s="1" t="s">
        <v>246</v>
      </c>
      <c r="C15" s="32" t="s">
        <v>241</v>
      </c>
      <c r="D15" s="13" t="s">
        <v>51</v>
      </c>
      <c r="E15" s="14" t="s">
        <v>250</v>
      </c>
      <c r="F15" s="1" t="s">
        <v>248</v>
      </c>
      <c r="G15" s="1" t="s">
        <v>249</v>
      </c>
    </row>
    <row r="16" spans="1:7" ht="36" customHeight="1" x14ac:dyDescent="0.25">
      <c r="A16" s="1" t="s">
        <v>31</v>
      </c>
      <c r="B16" s="1" t="s">
        <v>253</v>
      </c>
      <c r="C16" s="26" t="s">
        <v>138</v>
      </c>
      <c r="D16" s="13" t="s">
        <v>51</v>
      </c>
      <c r="E16" s="14" t="s">
        <v>62</v>
      </c>
      <c r="F16" s="1" t="s">
        <v>255</v>
      </c>
      <c r="G16" s="1" t="s">
        <v>256</v>
      </c>
    </row>
    <row r="17" spans="1:7" ht="36" customHeight="1" x14ac:dyDescent="0.25">
      <c r="A17" s="1" t="s">
        <v>31</v>
      </c>
      <c r="B17" s="1" t="s">
        <v>137</v>
      </c>
      <c r="C17" s="26" t="s">
        <v>138</v>
      </c>
      <c r="D17" s="13" t="s">
        <v>51</v>
      </c>
      <c r="E17" s="16" t="s">
        <v>70</v>
      </c>
      <c r="F17" s="1" t="s">
        <v>140</v>
      </c>
      <c r="G17" s="1" t="s">
        <v>141</v>
      </c>
    </row>
    <row r="18" spans="1:7" ht="36" customHeight="1" x14ac:dyDescent="0.25">
      <c r="A18" s="1" t="s">
        <v>31</v>
      </c>
      <c r="B18" s="1" t="s">
        <v>258</v>
      </c>
      <c r="C18" s="26" t="s">
        <v>138</v>
      </c>
      <c r="D18" s="13" t="s">
        <v>51</v>
      </c>
      <c r="E18" s="14" t="s">
        <v>262</v>
      </c>
      <c r="F18" s="1" t="s">
        <v>260</v>
      </c>
      <c r="G18" s="1" t="s">
        <v>261</v>
      </c>
    </row>
    <row r="19" spans="1:7" ht="36" customHeight="1" x14ac:dyDescent="0.25">
      <c r="A19" s="1" t="s">
        <v>31</v>
      </c>
      <c r="B19" s="1" t="s">
        <v>265</v>
      </c>
      <c r="C19" s="26" t="s">
        <v>138</v>
      </c>
      <c r="D19" s="18" t="s">
        <v>74</v>
      </c>
      <c r="E19" s="14" t="s">
        <v>269</v>
      </c>
      <c r="F19" s="1" t="s">
        <v>267</v>
      </c>
      <c r="G19" s="1" t="s">
        <v>268</v>
      </c>
    </row>
    <row r="20" spans="1:7" ht="36" customHeight="1" x14ac:dyDescent="0.25">
      <c r="A20" s="1" t="s">
        <v>31</v>
      </c>
      <c r="B20" s="1" t="s">
        <v>272</v>
      </c>
      <c r="C20" s="29" t="s">
        <v>226</v>
      </c>
      <c r="D20" s="18" t="s">
        <v>74</v>
      </c>
      <c r="E20" s="16" t="s">
        <v>70</v>
      </c>
      <c r="F20" s="1" t="s">
        <v>274</v>
      </c>
      <c r="G20" s="1" t="s">
        <v>275</v>
      </c>
    </row>
    <row r="21" spans="1:7" ht="36" customHeight="1" x14ac:dyDescent="0.25">
      <c r="A21" s="1" t="s">
        <v>31</v>
      </c>
      <c r="B21" s="1" t="s">
        <v>277</v>
      </c>
      <c r="C21" s="29" t="s">
        <v>226</v>
      </c>
      <c r="D21" s="27" t="s">
        <v>167</v>
      </c>
      <c r="E21" s="16" t="s">
        <v>70</v>
      </c>
      <c r="F21" s="1" t="s">
        <v>279</v>
      </c>
      <c r="G21" s="1" t="s">
        <v>280</v>
      </c>
    </row>
    <row r="22" spans="1:7" ht="36" customHeight="1" x14ac:dyDescent="0.25">
      <c r="A22" s="1" t="s">
        <v>31</v>
      </c>
      <c r="B22" s="1" t="s">
        <v>282</v>
      </c>
      <c r="C22" s="29" t="s">
        <v>226</v>
      </c>
      <c r="D22" s="27" t="s">
        <v>167</v>
      </c>
      <c r="E22" s="16" t="s">
        <v>70</v>
      </c>
      <c r="F22" s="1" t="s">
        <v>284</v>
      </c>
      <c r="G22" s="1" t="s">
        <v>285</v>
      </c>
    </row>
    <row r="23" spans="1:7" ht="36" customHeight="1" x14ac:dyDescent="0.25">
      <c r="A23" s="1" t="s">
        <v>31</v>
      </c>
      <c r="B23" s="1" t="s">
        <v>287</v>
      </c>
      <c r="C23" s="29" t="s">
        <v>226</v>
      </c>
      <c r="D23" s="27" t="s">
        <v>167</v>
      </c>
      <c r="E23" s="14" t="s">
        <v>291</v>
      </c>
      <c r="F23" s="1" t="s">
        <v>289</v>
      </c>
      <c r="G23" s="1" t="s">
        <v>290</v>
      </c>
    </row>
    <row r="24" spans="1:7" ht="36" customHeight="1" x14ac:dyDescent="0.25">
      <c r="A24" s="1" t="s">
        <v>31</v>
      </c>
      <c r="B24" s="1" t="s">
        <v>294</v>
      </c>
      <c r="C24" s="26" t="s">
        <v>138</v>
      </c>
      <c r="D24" s="19" t="s">
        <v>101</v>
      </c>
      <c r="E24" s="16" t="s">
        <v>70</v>
      </c>
      <c r="F24" s="1" t="s">
        <v>296</v>
      </c>
      <c r="G24" s="1" t="s">
        <v>297</v>
      </c>
    </row>
    <row r="25" spans="1:7" ht="36" customHeight="1" x14ac:dyDescent="0.25">
      <c r="A25" s="1" t="s">
        <v>31</v>
      </c>
      <c r="B25" s="1" t="s">
        <v>300</v>
      </c>
      <c r="C25" s="32" t="s">
        <v>241</v>
      </c>
      <c r="D25" s="19" t="s">
        <v>101</v>
      </c>
      <c r="E25" s="16" t="s">
        <v>70</v>
      </c>
      <c r="F25" s="1" t="s">
        <v>302</v>
      </c>
      <c r="G25" s="1" t="s">
        <v>303</v>
      </c>
    </row>
  </sheetData>
  <autoFilter ref="A4:G25" xr:uid="{00000000-0009-0000-0000-000007000000}"/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showGridLines="0" zoomScaleNormal="100" workbookViewId="0">
      <pane ySplit="4" topLeftCell="A27" activePane="bottomLeft" state="frozen"/>
      <selection pane="bottomLeft" sqref="A1:G1"/>
    </sheetView>
  </sheetViews>
  <sheetFormatPr defaultColWidth="8.5703125" defaultRowHeight="15" x14ac:dyDescent="0.25"/>
  <cols>
    <col min="1" max="1" width="20" customWidth="1"/>
    <col min="2" max="2" width="26" customWidth="1"/>
    <col min="3" max="3" width="16" customWidth="1"/>
    <col min="4" max="4" width="6" customWidth="1"/>
    <col min="5" max="5" width="15" customWidth="1"/>
    <col min="6" max="6" width="38" customWidth="1"/>
    <col min="7" max="7" width="44" customWidth="1"/>
  </cols>
  <sheetData>
    <row r="1" spans="1:7" ht="18" x14ac:dyDescent="0.25">
      <c r="A1" s="58" t="s">
        <v>402</v>
      </c>
      <c r="B1" s="58"/>
      <c r="C1" s="58"/>
      <c r="D1" s="58"/>
      <c r="E1" s="58"/>
      <c r="F1" s="58"/>
      <c r="G1" s="58"/>
    </row>
    <row r="2" spans="1:7" ht="25.5" customHeight="1" x14ac:dyDescent="0.25">
      <c r="A2" s="59" t="s">
        <v>19</v>
      </c>
      <c r="B2" s="59"/>
      <c r="C2" s="59"/>
      <c r="D2" s="59"/>
      <c r="E2" s="59"/>
      <c r="F2" s="59"/>
      <c r="G2" s="59"/>
    </row>
    <row r="4" spans="1:7" ht="27.75" customHeight="1" x14ac:dyDescent="0.25">
      <c r="A4" s="3" t="s">
        <v>396</v>
      </c>
      <c r="B4" s="3" t="s">
        <v>39</v>
      </c>
      <c r="C4" s="3" t="s">
        <v>40</v>
      </c>
      <c r="D4" s="3" t="s">
        <v>41</v>
      </c>
      <c r="E4" s="3" t="s">
        <v>45</v>
      </c>
      <c r="F4" s="3" t="s">
        <v>397</v>
      </c>
      <c r="G4" s="3" t="s">
        <v>398</v>
      </c>
    </row>
    <row r="5" spans="1:7" ht="36" customHeight="1" x14ac:dyDescent="0.25">
      <c r="A5" s="55" t="s">
        <v>24</v>
      </c>
      <c r="B5" s="1" t="s">
        <v>49</v>
      </c>
      <c r="C5" s="12" t="s">
        <v>50</v>
      </c>
      <c r="D5" s="13" t="s">
        <v>51</v>
      </c>
      <c r="E5" s="14" t="s">
        <v>55</v>
      </c>
      <c r="F5" s="1" t="s">
        <v>53</v>
      </c>
      <c r="G5" s="1" t="s">
        <v>54</v>
      </c>
    </row>
    <row r="6" spans="1:7" ht="36" customHeight="1" x14ac:dyDescent="0.25">
      <c r="A6" s="1" t="s">
        <v>24</v>
      </c>
      <c r="B6" s="1" t="s">
        <v>58</v>
      </c>
      <c r="C6" s="12" t="s">
        <v>50</v>
      </c>
      <c r="D6" s="13" t="s">
        <v>51</v>
      </c>
      <c r="E6" s="14" t="s">
        <v>62</v>
      </c>
      <c r="F6" s="1" t="s">
        <v>60</v>
      </c>
      <c r="G6" s="1" t="s">
        <v>61</v>
      </c>
    </row>
    <row r="7" spans="1:7" ht="49.5" customHeight="1" x14ac:dyDescent="0.25">
      <c r="A7" s="1" t="s">
        <v>24</v>
      </c>
      <c r="B7" s="1" t="s">
        <v>65</v>
      </c>
      <c r="C7" s="15" t="s">
        <v>66</v>
      </c>
      <c r="D7" s="13" t="s">
        <v>51</v>
      </c>
      <c r="E7" s="16" t="s">
        <v>70</v>
      </c>
      <c r="F7" s="1" t="s">
        <v>68</v>
      </c>
      <c r="G7" s="1" t="s">
        <v>69</v>
      </c>
    </row>
    <row r="8" spans="1:7" ht="36" customHeight="1" x14ac:dyDescent="0.25">
      <c r="A8" s="1" t="s">
        <v>24</v>
      </c>
      <c r="B8" s="1" t="s">
        <v>72</v>
      </c>
      <c r="C8" s="17" t="s">
        <v>73</v>
      </c>
      <c r="D8" s="18" t="s">
        <v>74</v>
      </c>
      <c r="E8" s="14" t="s">
        <v>78</v>
      </c>
      <c r="F8" s="1" t="s">
        <v>76</v>
      </c>
      <c r="G8" s="1" t="s">
        <v>77</v>
      </c>
    </row>
    <row r="9" spans="1:7" ht="49.5" customHeight="1" x14ac:dyDescent="0.25">
      <c r="A9" s="1" t="s">
        <v>24</v>
      </c>
      <c r="B9" s="1" t="s">
        <v>81</v>
      </c>
      <c r="C9" s="12" t="s">
        <v>50</v>
      </c>
      <c r="D9" s="18" t="s">
        <v>74</v>
      </c>
      <c r="E9" s="14" t="s">
        <v>85</v>
      </c>
      <c r="F9" s="1" t="s">
        <v>83</v>
      </c>
      <c r="G9" s="1" t="s">
        <v>84</v>
      </c>
    </row>
    <row r="10" spans="1:7" ht="36" customHeight="1" x14ac:dyDescent="0.25">
      <c r="A10" s="1" t="s">
        <v>24</v>
      </c>
      <c r="B10" s="1" t="s">
        <v>88</v>
      </c>
      <c r="C10" s="17" t="s">
        <v>73</v>
      </c>
      <c r="D10" s="18" t="s">
        <v>74</v>
      </c>
      <c r="E10" s="16" t="s">
        <v>70</v>
      </c>
      <c r="F10" s="1" t="s">
        <v>90</v>
      </c>
      <c r="G10" s="1" t="s">
        <v>91</v>
      </c>
    </row>
    <row r="11" spans="1:7" ht="36" customHeight="1" x14ac:dyDescent="0.25">
      <c r="A11" s="1" t="s">
        <v>24</v>
      </c>
      <c r="B11" s="1" t="s">
        <v>94</v>
      </c>
      <c r="C11" s="15" t="s">
        <v>66</v>
      </c>
      <c r="D11" s="18" t="s">
        <v>74</v>
      </c>
      <c r="E11" s="16" t="s">
        <v>70</v>
      </c>
      <c r="F11" s="1" t="s">
        <v>96</v>
      </c>
      <c r="G11" s="1" t="s">
        <v>97</v>
      </c>
    </row>
    <row r="12" spans="1:7" ht="36" customHeight="1" x14ac:dyDescent="0.25">
      <c r="A12" s="1" t="s">
        <v>24</v>
      </c>
      <c r="B12" s="1" t="s">
        <v>100</v>
      </c>
      <c r="C12" s="15" t="s">
        <v>66</v>
      </c>
      <c r="D12" s="19" t="s">
        <v>101</v>
      </c>
      <c r="E12" s="16" t="s">
        <v>70</v>
      </c>
      <c r="F12" s="1" t="s">
        <v>103</v>
      </c>
      <c r="G12" s="1" t="s">
        <v>104</v>
      </c>
    </row>
    <row r="13" spans="1:7" ht="36" customHeight="1" x14ac:dyDescent="0.25">
      <c r="A13" s="1" t="s">
        <v>24</v>
      </c>
      <c r="B13" s="1" t="s">
        <v>107</v>
      </c>
      <c r="C13" s="15" t="s">
        <v>66</v>
      </c>
      <c r="D13" s="19" t="s">
        <v>101</v>
      </c>
      <c r="E13" s="16" t="s">
        <v>70</v>
      </c>
      <c r="F13" s="1" t="s">
        <v>109</v>
      </c>
      <c r="G13" s="1" t="s">
        <v>110</v>
      </c>
    </row>
    <row r="14" spans="1:7" ht="36" customHeight="1" x14ac:dyDescent="0.25">
      <c r="A14" s="56" t="s">
        <v>33</v>
      </c>
      <c r="B14" s="57" t="s">
        <v>307</v>
      </c>
      <c r="C14" s="33" t="s">
        <v>66</v>
      </c>
      <c r="D14" s="34" t="s">
        <v>101</v>
      </c>
      <c r="E14" s="28" t="s">
        <v>70</v>
      </c>
      <c r="F14" s="57" t="s">
        <v>309</v>
      </c>
      <c r="G14" s="57" t="s">
        <v>310</v>
      </c>
    </row>
    <row r="15" spans="1:7" ht="36" customHeight="1" x14ac:dyDescent="0.25">
      <c r="A15" s="1" t="s">
        <v>33</v>
      </c>
      <c r="B15" s="1" t="s">
        <v>312</v>
      </c>
      <c r="C15" s="26" t="s">
        <v>138</v>
      </c>
      <c r="D15" s="19" t="s">
        <v>101</v>
      </c>
      <c r="E15" s="16" t="s">
        <v>70</v>
      </c>
      <c r="F15" s="1" t="s">
        <v>314</v>
      </c>
      <c r="G15" s="1" t="s">
        <v>315</v>
      </c>
    </row>
    <row r="16" spans="1:7" ht="36" customHeight="1" x14ac:dyDescent="0.25">
      <c r="A16" s="1" t="s">
        <v>33</v>
      </c>
      <c r="B16" s="1" t="s">
        <v>318</v>
      </c>
      <c r="C16" s="26" t="s">
        <v>138</v>
      </c>
      <c r="D16" s="19" t="s">
        <v>101</v>
      </c>
      <c r="E16" s="16" t="s">
        <v>70</v>
      </c>
      <c r="F16" s="1" t="s">
        <v>320</v>
      </c>
      <c r="G16" s="1" t="s">
        <v>321</v>
      </c>
    </row>
    <row r="17" spans="1:7" ht="36" customHeight="1" x14ac:dyDescent="0.25">
      <c r="A17" s="1" t="s">
        <v>33</v>
      </c>
      <c r="B17" s="1" t="s">
        <v>323</v>
      </c>
      <c r="C17" s="26" t="s">
        <v>138</v>
      </c>
      <c r="D17" s="19" t="s">
        <v>101</v>
      </c>
      <c r="E17" s="16" t="s">
        <v>70</v>
      </c>
      <c r="F17" s="1" t="s">
        <v>325</v>
      </c>
      <c r="G17" s="1" t="s">
        <v>326</v>
      </c>
    </row>
    <row r="18" spans="1:7" ht="36" customHeight="1" x14ac:dyDescent="0.25">
      <c r="A18" s="1" t="s">
        <v>33</v>
      </c>
      <c r="B18" s="1" t="s">
        <v>328</v>
      </c>
      <c r="C18" s="12" t="s">
        <v>50</v>
      </c>
      <c r="D18" s="19" t="s">
        <v>101</v>
      </c>
      <c r="E18" s="16" t="s">
        <v>70</v>
      </c>
      <c r="F18" s="1" t="s">
        <v>330</v>
      </c>
      <c r="G18" s="1" t="s">
        <v>331</v>
      </c>
    </row>
    <row r="19" spans="1:7" ht="36" customHeight="1" x14ac:dyDescent="0.25">
      <c r="A19" s="1" t="s">
        <v>33</v>
      </c>
      <c r="B19" s="1" t="s">
        <v>333</v>
      </c>
      <c r="C19" s="12" t="s">
        <v>50</v>
      </c>
      <c r="D19" s="19" t="s">
        <v>101</v>
      </c>
      <c r="E19" s="14" t="s">
        <v>205</v>
      </c>
      <c r="F19" s="1" t="s">
        <v>335</v>
      </c>
      <c r="G19" s="1" t="s">
        <v>336</v>
      </c>
    </row>
    <row r="20" spans="1:7" ht="36" customHeight="1" x14ac:dyDescent="0.25">
      <c r="A20" s="1" t="s">
        <v>33</v>
      </c>
      <c r="B20" s="1" t="s">
        <v>338</v>
      </c>
      <c r="C20" s="29" t="s">
        <v>226</v>
      </c>
      <c r="D20" s="19" t="s">
        <v>101</v>
      </c>
      <c r="E20" s="16" t="s">
        <v>70</v>
      </c>
      <c r="F20" s="1" t="s">
        <v>340</v>
      </c>
      <c r="G20" s="1" t="s">
        <v>341</v>
      </c>
    </row>
  </sheetData>
  <autoFilter ref="A4:G20" xr:uid="{00000000-0009-0000-0000-000008000000}"/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Persona Map</vt:lpstr>
      <vt:lpstr>KPI Navigation Map</vt:lpstr>
      <vt:lpstr>Composite Score Model</vt:lpstr>
      <vt:lpstr>Legend &amp; Notes</vt:lpstr>
      <vt:lpstr>CRM Analyst</vt:lpstr>
      <vt:lpstr>DRI</vt:lpstr>
      <vt:lpstr>Marketing &amp; Loyalty Ops</vt:lpstr>
      <vt:lpstr>Finance &amp; Executive</vt:lpstr>
      <vt:lpstr>Admin &amp; 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Mamidipalli, Sruthi R.</cp:lastModifiedBy>
  <cp:revision>0</cp:revision>
  <dcterms:created xsi:type="dcterms:W3CDTF">2026-07-16T05:52:44Z</dcterms:created>
  <dcterms:modified xsi:type="dcterms:W3CDTF">2026-07-16T07:10:04Z</dcterms:modified>
  <dc:language>en-US</dc:language>
</cp:coreProperties>
</file>